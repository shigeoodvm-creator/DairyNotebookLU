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5d2ed448b6268d/デスクトップ/肺エコープロジェクト/"/>
    </mc:Choice>
  </mc:AlternateContent>
  <xr:revisionPtr revIDLastSave="2" documentId="11_90648D1C49AA1F624CAF35BB789AD108CC826C12" xr6:coauthVersionLast="47" xr6:coauthVersionMax="47" xr10:uidLastSave="{40565C18-422B-4C5C-94DD-F5B34FEFE222}"/>
  <bookViews>
    <workbookView xWindow="-108" yWindow="-108" windowWidth="23256" windowHeight="13896" xr2:uid="{00000000-000D-0000-FFFF-FFFF00000000}"/>
  </bookViews>
  <sheets>
    <sheet name="個体記録票" sheetId="1" r:id="rId1"/>
    <sheet name="プローブ位置ガイド" sheetId="2" r:id="rId2"/>
    <sheet name="農場推移管理" sheetId="3" r:id="rId3"/>
    <sheet name="個体経過フォロー" sheetId="4" r:id="rId4"/>
    <sheet name="スコア判定ガイ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CalfScan定義</author>
  </authors>
  <commentList>
    <comment ref="F6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【葉1】右前葉・前部
Cranial part of right cranial lobe
走査範囲: 右 ICS 1〜2
出典: CalfScan App, UW-Madison
Ollivett &amp; Buczinski, Vet Clin NA Food Anim 2016</t>
        </r>
      </text>
    </comment>
    <comment ref="G6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【葉2】右前葉・後部
Caudal part of right cranial lobe
走査範囲: 右 ICS 3〜4
出典: CalfScan App, UW-Madison
Ollivett &amp; Buczinski, Vet Clin NA Food Anim 2016</t>
        </r>
      </text>
    </comment>
    <comment ref="H6" authorId="0" shapeId="0" xr:uid="{00000000-0006-0000-0000-000003000000}">
      <text>
        <r>
          <rPr>
            <sz val="11"/>
            <color theme="1"/>
            <rFont val="ＭＳ Ｐゴシック"/>
            <family val="2"/>
            <scheme val="minor"/>
          </rPr>
          <t>【葉3】右中葉
Right middle lobe
走査範囲: 右 ICS 5
出典: CalfScan App, UW-Madison
Ollivett &amp; Buczinski, Vet Clin NA Food Anim 2016</t>
        </r>
      </text>
    </comment>
    <comment ref="I6" authorId="0" shapeId="0" xr:uid="{00000000-0006-0000-0000-000004000000}">
      <text>
        <r>
          <rPr>
            <sz val="11"/>
            <color theme="1"/>
            <rFont val="ＭＳ Ｐゴシック"/>
            <family val="2"/>
            <scheme val="minor"/>
          </rPr>
          <t>【葉4】右後葉
Right caudal lobe
走査範囲: 右 ICS 6〜10
出典: CalfScan App, UW-Madison
Ollivett &amp; Buczinski, Vet Clin NA Food Anim 2016</t>
        </r>
      </text>
    </comment>
    <comment ref="K6" authorId="0" shapeId="0" xr:uid="{00000000-0006-0000-0000-000005000000}">
      <text>
        <r>
          <rPr>
            <sz val="11"/>
            <color theme="1"/>
            <rFont val="ＭＳ Ｐゴシック"/>
            <family val="2"/>
            <scheme val="minor"/>
          </rPr>
          <t>【葉5】左前葉・前部
Cranial part of left cranial lobe
走査範囲: 左 ICS 2〜3
出典: CalfScan App, UW-Madison
Ollivett &amp; Buczinski, Vet Clin NA Food Anim 2016</t>
        </r>
      </text>
    </comment>
    <comment ref="L6" authorId="0" shapeId="0" xr:uid="{00000000-0006-0000-0000-000006000000}">
      <text>
        <r>
          <rPr>
            <sz val="11"/>
            <color theme="1"/>
            <rFont val="ＭＳ Ｐゴシック"/>
            <family val="2"/>
            <scheme val="minor"/>
          </rPr>
          <t>【葉6】左前葉・後部
Caudal part of left cranial lobe
走査範囲: 左 ICS 4〜5
出典: CalfScan App, UW-Madison
Ollivett &amp; Buczinski, Vet Clin NA Food Anim 2016</t>
        </r>
      </text>
    </comment>
    <comment ref="M6" authorId="0" shapeId="0" xr:uid="{00000000-0006-0000-0000-000007000000}">
      <text>
        <r>
          <rPr>
            <sz val="11"/>
            <color theme="1"/>
            <rFont val="ＭＳ Ｐゴシック"/>
            <family val="2"/>
            <scheme val="minor"/>
          </rPr>
          <t>【葉7】左後葉
Left caudal lobe
走査範囲: 左 ICS 6〜10
出典: CalfScan App, UW-Madison
Ollivett &amp; Buczinski, Vet Clin NA Food Anim 2016</t>
        </r>
      </text>
    </comment>
  </commentList>
</comments>
</file>

<file path=xl/sharedStrings.xml><?xml version="1.0" encoding="utf-8"?>
<sst xmlns="http://schemas.openxmlformats.org/spreadsheetml/2006/main" count="210" uniqueCount="179">
  <si>
    <t>子牛  肺エコー検診  個体記録票</t>
  </si>
  <si>
    <t>農場名：</t>
  </si>
  <si>
    <t>検査者：</t>
  </si>
  <si>
    <t>パターン：</t>
  </si>
  <si>
    <t>A / B / C</t>
  </si>
  <si>
    <t>年　　月</t>
  </si>
  <si>
    <t>スコア早見</t>
  </si>
  <si>
    <t>0: 正常</t>
  </si>
  <si>
    <t>1: Bライン増多</t>
  </si>
  <si>
    <t>2: 小葉性実質化</t>
  </si>
  <si>
    <t>3: 1葉性</t>
  </si>
  <si>
    <t>4: 2葉性</t>
  </si>
  <si>
    <t>5: 3葉以上  ※CalfScan7葉方式（前葉前部・後部は各1葉）</t>
  </si>
  <si>
    <t>治療閾値: スコア≥2 → 即時治療介入　　スコア1 → 5〜10日後に再スキャン</t>
  </si>
  <si>
    <t>No</t>
  </si>
  <si>
    <t>耳標番号
(個体識別)</t>
  </si>
  <si>
    <t>日齢</t>
  </si>
  <si>
    <t>検査日
(月/日)</t>
  </si>
  <si>
    <t>第
何回</t>
  </si>
  <si>
    <t>OB
スコア
(0-5)</t>
  </si>
  <si>
    <t>主な所見
(胸水/膿瘍等)</t>
  </si>
  <si>
    <t>治療
(○/－)</t>
  </si>
  <si>
    <t>使用薬・投与量</t>
  </si>
  <si>
    <t>備考
(次回予定等)</t>
  </si>
  <si>
    <t>葉①
R前-前</t>
  </si>
  <si>
    <t>葉②
R前-後</t>
  </si>
  <si>
    <t>葉③
R中</t>
  </si>
  <si>
    <t>葉④
R後</t>
  </si>
  <si>
    <t>葉⑤
L前-前</t>
  </si>
  <si>
    <t>葉⑥
L前-後</t>
  </si>
  <si>
    <t>葉⑦
L後</t>
  </si>
  <si>
    <t>【 当日集計 】</t>
  </si>
  <si>
    <t>ベンチマーク基準</t>
  </si>
  <si>
    <t>検査頭数</t>
  </si>
  <si>
    <t>有病率（スコア≥2）</t>
  </si>
  <si>
    <t>&lt; 20%（中間目標）　&lt; 15%（離乳時目標）</t>
  </si>
  <si>
    <t>スコア≥2 頭数（治療対象）</t>
  </si>
  <si>
    <t>重症（スコア≥4）割合</t>
  </si>
  <si>
    <t>&lt; 5% が望ましい</t>
  </si>
  <si>
    <t>有病率 スコア≥2 (%)</t>
  </si>
  <si>
    <t>治療後7〜10日にスコア≥2 残存</t>
  </si>
  <si>
    <t>&lt; 15%（超過 → 薬剤・治療期間を再評価）</t>
  </si>
  <si>
    <t>スコア0（正常）頭数</t>
  </si>
  <si>
    <t>有病率 &gt; 20% 時</t>
  </si>
  <si>
    <t>飼養環境（換気・密度・移動タイミング）の見直しを優先</t>
  </si>
  <si>
    <t>重症（スコア≥4）頭数</t>
  </si>
  <si>
    <t>有病率 &gt; 30% 時</t>
  </si>
  <si>
    <t>緊急の飼養管理改善と原因究明が必要</t>
  </si>
  <si>
    <t>所見・メモ（飼養環境・治療方針・次回アクション・農場へのフィードバック等）</t>
  </si>
  <si>
    <t>子牛 肺エコー検診  プローブ当て位置ガイド  ─  CalfScan 7葉方式</t>
  </si>
  <si>
    <t>出典: Ollivett TL, Buczinski S. Vet Clin North Am Food Anim Pract. 2016;32(1):19-35. / CalfScan App, UW-Madison School of Veterinary Medicine</t>
  </si>
  <si>
    <t>子牛  肺エコー検診  農場推移管理表</t>
  </si>
  <si>
    <t>担当者：</t>
  </si>
  <si>
    <t>パターン：A / B / C</t>
  </si>
  <si>
    <t>　年度</t>
  </si>
  <si>
    <t>実施日</t>
  </si>
  <si>
    <t>検査
回数</t>
  </si>
  <si>
    <t>対象
頭数</t>
  </si>
  <si>
    <t>スキャン
実施頭数</t>
  </si>
  <si>
    <t>スコア別頭数</t>
  </si>
  <si>
    <t>スコア≥2
頭数</t>
  </si>
  <si>
    <t>有病率
(%)</t>
  </si>
  <si>
    <t>治療
介入頭数</t>
  </si>
  <si>
    <t>重症
(スコア≥4)</t>
  </si>
  <si>
    <t>メモ（管理・環境・治療方針）</t>
  </si>
  <si>
    <t>0</t>
  </si>
  <si>
    <t>1</t>
  </si>
  <si>
    <t>2〜5</t>
  </si>
  <si>
    <t>【ベンチマーク凡例】  有病率 &lt;15%：目標達成（緑）  15〜20%：注意（黄）  20〜30%：警戒（橙）  &gt;30%：緊急（赤）</t>
  </si>
  <si>
    <t>シーズン振り返り・農場全体コメント</t>
  </si>
  <si>
    <t>子牛  肺エコー検診  個体経過フォロー表（治療牛・要注意牛）</t>
  </si>
  <si>
    <t>年度：</t>
  </si>
  <si>
    <t>耳標番号</t>
  </si>
  <si>
    <t>発見時
日齢</t>
  </si>
  <si>
    <t>初回発見・治療開始</t>
  </si>
  <si>
    <t>再スキャン①（7〜10日後）</t>
  </si>
  <si>
    <t>再スキャン②（14〜21日後）</t>
  </si>
  <si>
    <t>最終評価（離乳前）</t>
  </si>
  <si>
    <t>転帰・結果
(治癒/廃用/死亡/継続)</t>
  </si>
  <si>
    <t>検査日</t>
  </si>
  <si>
    <t>スコア
(0-5)</t>
  </si>
  <si>
    <t>薬剤・備考</t>
  </si>
  <si>
    <t>Ollivett-Buczinski スコア  判定ガイド（現場参照用）</t>
  </si>
  <si>
    <t>スコア</t>
  </si>
  <si>
    <t>主な超音波所見</t>
  </si>
  <si>
    <t>解釈・重症度</t>
  </si>
  <si>
    <t>対応・介入</t>
  </si>
  <si>
    <t>予後の目安</t>
  </si>
  <si>
    <t>Aライン主体
少量Bライン（≤3本）</t>
  </si>
  <si>
    <t>正常肺
実質化なし</t>
  </si>
  <si>
    <t>次回定期スキャンまで経過観察
治療不要</t>
  </si>
  <si>
    <t>良好</t>
  </si>
  <si>
    <t>びまん性 / 重度Bライン増多
（1肋間あたり3本以上）</t>
  </si>
  <si>
    <t>間質性変化の疑い
軽微な炎症</t>
  </si>
  <si>
    <t>5〜10日後に再スキャン
農場スタッフに観察強化を依頼</t>
  </si>
  <si>
    <t>良好
早期発見で治癒率高</t>
  </si>
  <si>
    <t>小葉性実質化 ≥1cm
1肋間の一部に限局</t>
  </si>
  <si>
    <t>小葉性肺炎
潜在性が多い</t>
  </si>
  <si>
    <t>抗菌薬治療開始
症状なしでも介入
7〜10日後に再スキャン必須</t>
  </si>
  <si>
    <t>治療反応良好
早期介入で予後良</t>
  </si>
  <si>
    <t>1肺葉全体の実質化
Aライン消失</t>
  </si>
  <si>
    <t>葉性気管支肺炎
中等度〜重度</t>
  </si>
  <si>
    <t>抗菌薬治療介入
7〜10日後再スキャン
薬剤選択を再評価</t>
  </si>
  <si>
    <t>治療反応あるが
慢性化リスクあり</t>
  </si>
  <si>
    <t>2肺葉全体の実質化
胸水・膿瘍の合併も</t>
  </si>
  <si>
    <t>重症肺炎</t>
  </si>
  <si>
    <t>積極的治療
廃用リスク（〜26%）
を飼育者に説明</t>
  </si>
  <si>
    <t>予後不良
廃用リスク高
発育損失大</t>
  </si>
  <si>
    <t>3葉以上の実質化
Moth Sign（虫食い様所見）
膿瘍・胸水合併</t>
  </si>
  <si>
    <t>最重症肺炎</t>
  </si>
  <si>
    <t>緊急対応
治療費対効果を協議
廃用・安楽殺も提示</t>
  </si>
  <si>
    <t>予後極めて不良
治療成功率&lt;30%
枝肉損失大</t>
  </si>
  <si>
    <t>◆ 治療閾値：スコア ≥ 2 → 治療介入（臨床症状の有無に関わらず）　◆ スコア 1 → 5〜10日後に再スキャン　◆ スコア 0 → 次回定期スキャンまで観察</t>
  </si>
  <si>
    <t>◆ Moth Sign（虫食い様所見）：実質化病変内の高エコー不均一パターン → 陰性転帰（治療失敗・死亡・廃用）と強く関連（Feitoza et al. 2025）。</t>
  </si>
  <si>
    <t>◆ プローブ：子牛（哺乳期）はリニア型 7.5〜10 MHz / 深度5〜7 cm。カップリング剤または70%アルコールスプレーを使用。剃毛不要。</t>
  </si>
  <si>
    <t>◆ 所見の記号：○=Aライン正常　B=Bライン増多　C=実質化あり　E=胸水（effusion）　P=膿瘍（abscess）　M=Moth Sign</t>
  </si>
  <si>
    <t>◆ プロトコール別スキャンタイミング</t>
  </si>
  <si>
    <t>Pattern A（集中型）</t>
  </si>
  <si>
    <t>7日齢〜、7日間隔、計7〜8回</t>
  </si>
  <si>
    <t>週1回往診。最高精度。費用・時間的負担が最大。</t>
  </si>
  <si>
    <t>Pattern B（標準型）</t>
  </si>
  <si>
    <t>14日齢〜、14日間隔、計4〜5回</t>
  </si>
  <si>
    <t>隔週往診。費用対効果バランス最良。NOSAI巡回に組み込み可。</t>
  </si>
  <si>
    <t>Pattern C（簡易型）</t>
  </si>
  <si>
    <t>14日齢・35日齢・離乳時の3回固定＋症状時随時</t>
  </si>
  <si>
    <t>月1回程度の往診。小規模農場・試験導入に適する。</t>
  </si>
  <si>
    <t>【CalfScan 7葉方式  ─  肺葉定義・走査範囲（本記録様式の準拠方式）】</t>
  </si>
  <si>
    <t>出典: Ollivett TL, Buczinski S. On-farm use of ultrasonography for bovine respiratory disease. Vet Clin North Am Food Anim Pract. 2016;32(1):19-35. doi:10.1016/j.cvfa.2015.09.001  ／  CalfScan App, University of Wisconsin-Madison School of Veterinary Medicine （https://www.vetmed.wisc.edu/fapm/svm-dairy-apps/calfscan-calf-lung-ultrasound-scorer/）</t>
  </si>
  <si>
    <t>記録票
列</t>
  </si>
  <si>
    <t>葉
番号</t>
  </si>
  <si>
    <t>日本語名</t>
  </si>
  <si>
    <t>英語名（原著・CalfScan）</t>
  </si>
  <si>
    <t>走査肋間
(ICS)</t>
  </si>
  <si>
    <t>側</t>
  </si>
  <si>
    <t>スコア計算時の
「1葉」扱い</t>
  </si>
  <si>
    <t>備考</t>
  </si>
  <si>
    <t>F</t>
  </si>
  <si>
    <t>葉①</t>
  </si>
  <si>
    <t>右前葉・前部
(cranial部)</t>
  </si>
  <si>
    <t>Cranial part of right cranial lobe</t>
  </si>
  <si>
    <t>右 ICS 1〜2</t>
  </si>
  <si>
    <t>右</t>
  </si>
  <si>
    <t>1葉として計上</t>
  </si>
  <si>
    <t>G</t>
  </si>
  <si>
    <t>葉②</t>
  </si>
  <si>
    <t>右前葉・後部
(caudal部)</t>
  </si>
  <si>
    <t>Caudal part of right cranial lobe</t>
  </si>
  <si>
    <t>右 ICS 3〜4</t>
  </si>
  <si>
    <t>前部・後部は
独立した別葉</t>
  </si>
  <si>
    <t>H</t>
  </si>
  <si>
    <t>葉③</t>
  </si>
  <si>
    <t>右中葉</t>
  </si>
  <si>
    <t>Right middle lobe</t>
  </si>
  <si>
    <t>右 ICS 5</t>
  </si>
  <si>
    <t>I</t>
  </si>
  <si>
    <t>葉④</t>
  </si>
  <si>
    <t>右後葉</t>
  </si>
  <si>
    <t>Right caudal lobe</t>
  </si>
  <si>
    <t>右 ICS 6〜10</t>
  </si>
  <si>
    <t>K</t>
  </si>
  <si>
    <t>葉⑤</t>
  </si>
  <si>
    <t>左前葉・前部
(cranial部)</t>
  </si>
  <si>
    <t>Cranial part of left cranial lobe</t>
  </si>
  <si>
    <t>左 ICS 2〜3</t>
  </si>
  <si>
    <t>左</t>
  </si>
  <si>
    <t>L</t>
  </si>
  <si>
    <t>葉⑥</t>
  </si>
  <si>
    <t>左前葉・後部
(caudal部)</t>
  </si>
  <si>
    <t>Caudal part of left cranial lobe</t>
  </si>
  <si>
    <t>左 ICS 4〜5</t>
  </si>
  <si>
    <t>M</t>
  </si>
  <si>
    <t>葉⑦</t>
  </si>
  <si>
    <t>左後葉</t>
  </si>
  <si>
    <t>Left caudal lobe</t>
  </si>
  <si>
    <t>左 ICS 6〜10</t>
  </si>
  <si>
    <t>右副葉は
評価対象外</t>
  </si>
  <si>
    <t>【スコア3〜5における「葉数」の数え方（CalfScan方式）】
スコア3 = 上記7葉のうち 1葉が完全実質化（hepatization）
スコア4 = 2葉が完全実質化
スコア5 = 3葉以上が完全実質化
※ 右前葉の前部（葉①）と後部（葉②）、左前葉の前部（葉⑤）と後部（葉⑥）は、それぞれ独立した「1葉」としてカウントする。
   5葉システム（前葉前部+後部をまとめて1葉とする方式）と混在しないよう注意。</t>
  </si>
  <si>
    <t>右肺
（A=正常Aライン  B=Bライン増多  C=実質化  E=胸水  P=膿瘍）</t>
    <phoneticPr fontId="21"/>
  </si>
  <si>
    <t>左肺　
（A=正常Aライン  B=Bライン増多  C=実質化  E=胸水  P=膿瘍）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</si>
</sst>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"/>
  </numFmts>
  <fonts count="31">
    <font>
      <sz val="11"/>
      <color theme="1"/>
      <name val="ＭＳ Ｐゴシック"/>
      <family val="2"/>
      <scheme val="minor"/>
    </font>
    <font>
      <b/>
      <sz val="16"/>
      <color rgb="FFFFFFFF"/>
      <name val="Yu Gothic UI"/>
      <family val="3"/>
      <charset val="128"/>
    </font>
    <font>
      <b/>
      <sz val="9"/>
      <color rgb="FF2C3E50"/>
      <name val="Yu Gothic UI"/>
      <family val="3"/>
      <charset val="128"/>
    </font>
    <font>
      <b/>
      <sz val="8"/>
      <color rgb="FFFFFFFF"/>
      <name val="Yu Gothic UI"/>
      <family val="3"/>
      <charset val="128"/>
    </font>
    <font>
      <b/>
      <sz val="8"/>
      <color rgb="FF2C3E50"/>
      <name val="Yu Gothic UI"/>
      <family val="3"/>
      <charset val="128"/>
    </font>
    <font>
      <b/>
      <sz val="8"/>
      <color rgb="FF7D6608"/>
      <name val="Yu Gothic UI"/>
      <family val="3"/>
      <charset val="128"/>
    </font>
    <font>
      <b/>
      <sz val="8"/>
      <color rgb="FF784212"/>
      <name val="Yu Gothic UI"/>
      <family val="3"/>
      <charset val="128"/>
    </font>
    <font>
      <b/>
      <sz val="8"/>
      <color rgb="FF922B21"/>
      <name val="Yu Gothic UI"/>
      <family val="3"/>
      <charset val="128"/>
    </font>
    <font>
      <b/>
      <sz val="9"/>
      <color rgb="FFFFFFFF"/>
      <name val="Yu Gothic UI"/>
      <family val="3"/>
      <charset val="128"/>
    </font>
    <font>
      <sz val="9"/>
      <color rgb="FF5D6D7E"/>
      <name val="Yu Gothic UI"/>
      <family val="3"/>
      <charset val="128"/>
    </font>
    <font>
      <sz val="9"/>
      <name val="Yu Gothic UI"/>
      <family val="3"/>
      <charset val="128"/>
    </font>
    <font>
      <b/>
      <sz val="10"/>
      <name val="Yu Gothic UI"/>
      <family val="3"/>
      <charset val="128"/>
    </font>
    <font>
      <b/>
      <sz val="10"/>
      <color rgb="FFFFFFFF"/>
      <name val="Yu Gothic UI"/>
      <family val="3"/>
      <charset val="128"/>
    </font>
    <font>
      <sz val="9"/>
      <color rgb="FF2C3E50"/>
      <name val="Yu Gothic UI"/>
      <family val="3"/>
      <charset val="128"/>
    </font>
    <font>
      <b/>
      <sz val="11"/>
      <color rgb="FF1A5276"/>
      <name val="Yu Gothic UI"/>
      <family val="3"/>
      <charset val="128"/>
    </font>
    <font>
      <sz val="10"/>
      <color rgb="FF2C3E50"/>
      <name val="Yu Gothic UI"/>
      <family val="3"/>
      <charset val="128"/>
    </font>
    <font>
      <sz val="10"/>
      <name val="Yu Gothic UI"/>
      <family val="3"/>
      <charset val="128"/>
    </font>
    <font>
      <b/>
      <sz val="15"/>
      <color rgb="FFFFFFFF"/>
      <name val="Yu Gothic UI"/>
      <family val="3"/>
      <charset val="128"/>
    </font>
    <font>
      <sz val="8"/>
      <name val="Yu Gothic UI"/>
      <family val="3"/>
      <charset val="128"/>
    </font>
    <font>
      <b/>
      <sz val="22"/>
      <color rgb="FF2C3E50"/>
      <name val="Yu Gothic UI"/>
      <family val="3"/>
      <charset val="128"/>
    </font>
    <font>
      <sz val="9"/>
      <color rgb="FF922B21"/>
      <name val="Yu Gothic UI"/>
      <family val="3"/>
      <charset val="128"/>
    </font>
    <font>
      <sz val="6"/>
      <name val="ＭＳ Ｐゴシック"/>
      <family val="3"/>
      <charset val="128"/>
      <scheme val="minor"/>
    </font>
    <font>
      <b/>
      <sz val="8"/>
      <color rgb="FFFFFFFF"/>
      <name val="MS Gothic"/>
      <family val="3"/>
      <charset val="128"/>
    </font>
    <font>
      <b/>
      <sz val="7"/>
      <color rgb="FFFFFFFF"/>
      <name val="MS Gothic"/>
      <family val="3"/>
      <charset val="128"/>
    </font>
    <font>
      <b/>
      <sz val="10"/>
      <color rgb="FFFFFFFF"/>
      <name val="MS Gothic"/>
      <family val="3"/>
      <charset val="128"/>
    </font>
    <font>
      <sz val="8"/>
      <color rgb="FF1A237E"/>
      <name val="MS Gothic"/>
      <family val="3"/>
      <charset val="128"/>
    </font>
    <font>
      <sz val="8"/>
      <color rgb="FF1A1A2E"/>
      <name val="MS Gothic"/>
      <family val="3"/>
      <charset val="128"/>
    </font>
    <font>
      <b/>
      <sz val="8"/>
      <color rgb="FF1A1A2E"/>
      <name val="MS Gothic"/>
      <family val="3"/>
      <charset val="128"/>
    </font>
    <font>
      <sz val="8"/>
      <color rgb="FF4A1000"/>
      <name val="MS Gothic"/>
      <family val="3"/>
      <charset val="128"/>
    </font>
    <font>
      <b/>
      <sz val="11"/>
      <color rgb="FFFFFFFF"/>
      <name val="MS Gothic"/>
      <family val="3"/>
      <charset val="128"/>
    </font>
    <font>
      <i/>
      <sz val="8"/>
      <color rgb="FF1A237E"/>
      <name val="MS Gothic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9EBEA"/>
      </patternFill>
    </fill>
    <fill>
      <patternFill patternType="solid">
        <fgColor rgb="FFFDEDEC"/>
      </patternFill>
    </fill>
    <fill>
      <patternFill patternType="solid">
        <fgColor rgb="FF1A5276"/>
      </patternFill>
    </fill>
    <fill>
      <patternFill patternType="solid">
        <fgColor rgb="FF21618C"/>
      </patternFill>
    </fill>
    <fill>
      <patternFill patternType="solid">
        <fgColor rgb="FF2E86C1"/>
      </patternFill>
    </fill>
    <fill>
      <patternFill patternType="solid">
        <fgColor rgb="FF1B5E20"/>
      </patternFill>
    </fill>
    <fill>
      <patternFill patternType="solid">
        <fgColor rgb="FF27AE60"/>
      </patternFill>
    </fill>
    <fill>
      <patternFill patternType="solid">
        <fgColor rgb="FF7D3C98"/>
      </patternFill>
    </fill>
    <fill>
      <patternFill patternType="solid">
        <fgColor rgb="FFEAF4FB"/>
      </patternFill>
    </fill>
    <fill>
      <patternFill patternType="solid">
        <fgColor rgb="FF1E8449"/>
      </patternFill>
    </fill>
    <fill>
      <patternFill patternType="solid">
        <fgColor rgb="FF2E4057"/>
      </patternFill>
    </fill>
    <fill>
      <patternFill patternType="solid">
        <fgColor rgb="FFAED6F1"/>
      </patternFill>
    </fill>
    <fill>
      <patternFill patternType="solid">
        <fgColor rgb="FF7FB3D3"/>
      </patternFill>
    </fill>
    <fill>
      <patternFill patternType="solid">
        <fgColor rgb="FFE9F7EF"/>
      </patternFill>
    </fill>
    <fill>
      <patternFill patternType="solid">
        <fgColor rgb="FFA9DFBF"/>
      </patternFill>
    </fill>
    <fill>
      <patternFill patternType="solid">
        <fgColor rgb="FFFFFDE7"/>
      </patternFill>
    </fill>
  </fills>
  <borders count="6">
    <border>
      <left/>
      <right/>
      <top/>
      <bottom/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/>
      <bottom style="thin">
        <color rgb="FFD5DBDB"/>
      </bottom>
      <diagonal/>
    </border>
    <border>
      <left/>
      <right/>
      <top style="thin">
        <color rgb="FFD5DBDB"/>
      </top>
      <bottom style="thin">
        <color rgb="FFD5DBDB"/>
      </bottom>
      <diagonal/>
    </border>
    <border>
      <left/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8" fillId="1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0" fillId="6" borderId="0" xfId="0" applyFill="1"/>
    <xf numFmtId="0" fontId="0" fillId="5" borderId="0" xfId="0" applyFill="1"/>
    <xf numFmtId="0" fontId="23" fillId="14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3" fillId="16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2" fillId="20" borderId="5" xfId="0" applyFont="1" applyFill="1" applyBorder="1" applyAlignment="1">
      <alignment horizontal="center" vertical="center" wrapText="1"/>
    </xf>
    <xf numFmtId="0" fontId="26" fillId="18" borderId="5" xfId="0" applyFont="1" applyFill="1" applyBorder="1" applyAlignment="1">
      <alignment horizontal="center" vertical="center" wrapText="1"/>
    </xf>
    <xf numFmtId="0" fontId="27" fillId="18" borderId="5" xfId="0" applyFont="1" applyFill="1" applyBorder="1" applyAlignment="1">
      <alignment horizontal="center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left" vertical="center" wrapText="1"/>
    </xf>
    <xf numFmtId="0" fontId="26" fillId="21" borderId="5" xfId="0" applyFont="1" applyFill="1" applyBorder="1" applyAlignment="1">
      <alignment horizontal="center" vertical="center" wrapText="1"/>
    </xf>
    <xf numFmtId="0" fontId="27" fillId="21" borderId="5" xfId="0" applyFont="1" applyFill="1" applyBorder="1" applyAlignment="1">
      <alignment horizontal="center" vertical="center" wrapText="1"/>
    </xf>
    <xf numFmtId="0" fontId="26" fillId="21" borderId="5" xfId="0" applyFont="1" applyFill="1" applyBorder="1" applyAlignment="1">
      <alignment horizontal="left" vertical="center" wrapText="1"/>
    </xf>
    <xf numFmtId="0" fontId="26" fillId="22" borderId="5" xfId="0" applyFont="1" applyFill="1" applyBorder="1" applyAlignment="1">
      <alignment horizontal="center" vertical="center" wrapText="1"/>
    </xf>
    <xf numFmtId="0" fontId="27" fillId="22" borderId="5" xfId="0" applyFont="1" applyFill="1" applyBorder="1" applyAlignment="1">
      <alignment horizontal="center" vertical="center" wrapText="1"/>
    </xf>
    <xf numFmtId="0" fontId="26" fillId="22" borderId="5" xfId="0" applyFont="1" applyFill="1" applyBorder="1" applyAlignment="1">
      <alignment horizontal="left" vertical="center" wrapText="1"/>
    </xf>
    <xf numFmtId="0" fontId="26" fillId="23" borderId="5" xfId="0" applyFont="1" applyFill="1" applyBorder="1" applyAlignment="1">
      <alignment horizontal="center" vertical="center" wrapText="1"/>
    </xf>
    <xf numFmtId="0" fontId="27" fillId="23" borderId="5" xfId="0" applyFont="1" applyFill="1" applyBorder="1" applyAlignment="1">
      <alignment horizontal="center" vertical="center" wrapText="1"/>
    </xf>
    <xf numFmtId="0" fontId="26" fillId="23" borderId="5" xfId="0" applyFont="1" applyFill="1" applyBorder="1" applyAlignment="1">
      <alignment horizontal="left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left" vertical="center" wrapText="1"/>
    </xf>
    <xf numFmtId="0" fontId="26" fillId="24" borderId="5" xfId="0" applyFont="1" applyFill="1" applyBorder="1" applyAlignment="1">
      <alignment horizontal="center" vertical="center" wrapText="1"/>
    </xf>
    <xf numFmtId="0" fontId="27" fillId="24" borderId="5" xfId="0" applyFont="1" applyFill="1" applyBorder="1" applyAlignment="1">
      <alignment horizontal="center" vertical="center" wrapText="1"/>
    </xf>
    <xf numFmtId="0" fontId="26" fillId="24" borderId="5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3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4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76" fontId="14" fillId="4" borderId="1" xfId="0" applyNumberFormat="1" applyFont="1" applyFill="1" applyBorder="1" applyAlignment="1">
      <alignment horizontal="center" vertical="center"/>
    </xf>
    <xf numFmtId="0" fontId="29" fillId="12" borderId="0" xfId="0" applyFont="1" applyFill="1"/>
    <xf numFmtId="0" fontId="0" fillId="0" borderId="0" xfId="0"/>
    <xf numFmtId="0" fontId="30" fillId="6" borderId="0" xfId="0" applyFont="1" applyFill="1"/>
    <xf numFmtId="0" fontId="8" fillId="19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24" fillId="1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/>
    </xf>
    <xf numFmtId="0" fontId="28" fillId="25" borderId="0" xfId="0" applyFont="1" applyFill="1" applyAlignment="1">
      <alignment horizontal="left" vertical="top" wrapText="1"/>
    </xf>
    <xf numFmtId="0" fontId="25" fillId="6" borderId="0" xfId="0" applyFont="1" applyFill="1" applyAlignment="1">
      <alignment horizontal="left" vertical="center" wrapText="1"/>
    </xf>
  </cellXfs>
  <cellStyles count="1">
    <cellStyle name="標準" xfId="0" builtinId="0"/>
  </cellStyles>
  <dxfs count="35">
    <dxf>
      <font>
        <b/>
        <sz val="11"/>
        <name val="Yu Gothic UI"/>
      </font>
      <fill>
        <patternFill patternType="solid">
          <fgColor rgb="FFF9EBEA"/>
        </patternFill>
      </fill>
    </dxf>
    <dxf>
      <font>
        <b/>
        <sz val="1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DEBD0"/>
        </patternFill>
      </fill>
    </dxf>
    <dxf>
      <font>
        <b/>
        <sz val="11"/>
        <name val="Yu Gothic UI"/>
      </font>
      <fill>
        <patternFill patternType="solid">
          <fgColor rgb="FFFEF9E7"/>
        </patternFill>
      </fill>
    </dxf>
    <dxf>
      <font>
        <b/>
        <sz val="11"/>
        <name val="Yu Gothic UI"/>
      </font>
      <fill>
        <patternFill patternType="solid">
          <fgColor rgb="FFD6EAF8"/>
        </patternFill>
      </fill>
    </dxf>
    <dxf>
      <font>
        <b/>
        <sz val="11"/>
        <name val="Yu Gothic UI"/>
      </font>
      <fill>
        <patternFill patternType="solid">
          <fgColor rgb="FFD5F5E3"/>
        </patternFill>
      </fill>
    </dxf>
    <dxf>
      <font>
        <b/>
        <sz val="11"/>
        <name val="Yu Gothic UI"/>
      </font>
      <fill>
        <patternFill patternType="solid">
          <fgColor rgb="FFF9EBEA"/>
        </patternFill>
      </fill>
    </dxf>
    <dxf>
      <font>
        <b/>
        <sz val="1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DEBD0"/>
        </patternFill>
      </fill>
    </dxf>
    <dxf>
      <font>
        <b/>
        <sz val="11"/>
        <name val="Yu Gothic UI"/>
      </font>
      <fill>
        <patternFill patternType="solid">
          <fgColor rgb="FFFEF9E7"/>
        </patternFill>
      </fill>
    </dxf>
    <dxf>
      <font>
        <b/>
        <sz val="11"/>
        <name val="Yu Gothic UI"/>
      </font>
      <fill>
        <patternFill patternType="solid">
          <fgColor rgb="FFD6EAF8"/>
        </patternFill>
      </fill>
    </dxf>
    <dxf>
      <font>
        <b/>
        <sz val="11"/>
        <name val="Yu Gothic UI"/>
      </font>
      <fill>
        <patternFill patternType="solid">
          <fgColor rgb="FFD5F5E3"/>
        </patternFill>
      </fill>
    </dxf>
    <dxf>
      <font>
        <b/>
        <sz val="11"/>
        <name val="Yu Gothic UI"/>
      </font>
      <fill>
        <patternFill patternType="solid">
          <fgColor rgb="FFF9EBEA"/>
        </patternFill>
      </fill>
    </dxf>
    <dxf>
      <font>
        <b/>
        <sz val="1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DEBD0"/>
        </patternFill>
      </fill>
    </dxf>
    <dxf>
      <font>
        <b/>
        <sz val="11"/>
        <name val="Yu Gothic UI"/>
      </font>
      <fill>
        <patternFill patternType="solid">
          <fgColor rgb="FFFEF9E7"/>
        </patternFill>
      </fill>
    </dxf>
    <dxf>
      <font>
        <b/>
        <sz val="11"/>
        <name val="Yu Gothic UI"/>
      </font>
      <fill>
        <patternFill patternType="solid">
          <fgColor rgb="FFD6EAF8"/>
        </patternFill>
      </fill>
    </dxf>
    <dxf>
      <font>
        <b/>
        <sz val="11"/>
        <name val="Yu Gothic UI"/>
      </font>
      <fill>
        <patternFill patternType="solid">
          <fgColor rgb="FFD5F5E3"/>
        </patternFill>
      </fill>
    </dxf>
    <dxf>
      <font>
        <b/>
        <sz val="11"/>
        <name val="Yu Gothic UI"/>
      </font>
      <fill>
        <patternFill patternType="solid">
          <fgColor rgb="FFF9EBEA"/>
        </patternFill>
      </fill>
    </dxf>
    <dxf>
      <font>
        <b/>
        <sz val="1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DEBD0"/>
        </patternFill>
      </fill>
    </dxf>
    <dxf>
      <font>
        <b/>
        <sz val="11"/>
        <name val="Yu Gothic UI"/>
      </font>
      <fill>
        <patternFill patternType="solid">
          <fgColor rgb="FFFEF9E7"/>
        </patternFill>
      </fill>
    </dxf>
    <dxf>
      <font>
        <b/>
        <sz val="11"/>
        <name val="Yu Gothic UI"/>
      </font>
      <fill>
        <patternFill patternType="solid">
          <fgColor rgb="FFD6EAF8"/>
        </patternFill>
      </fill>
    </dxf>
    <dxf>
      <font>
        <b/>
        <sz val="11"/>
        <name val="Yu Gothic UI"/>
      </font>
      <fill>
        <patternFill patternType="solid">
          <fgColor rgb="FFD5F5E3"/>
        </patternFill>
      </fill>
    </dxf>
    <dxf>
      <font>
        <b/>
        <sz val="11"/>
        <color rgb="FF1E8449"/>
        <name val="Yu Gothic UI"/>
      </font>
      <fill>
        <patternFill patternType="solid">
          <fgColor rgb="FFD5F5E3"/>
        </patternFill>
      </fill>
    </dxf>
    <dxf>
      <font>
        <b/>
        <sz val="11"/>
        <color rgb="FF7D6608"/>
        <name val="Yu Gothic UI"/>
      </font>
      <fill>
        <patternFill patternType="solid">
          <fgColor rgb="FFFEF9E7"/>
        </patternFill>
      </fill>
    </dxf>
    <dxf>
      <font>
        <b/>
        <sz val="11"/>
        <color rgb="FF922B21"/>
        <name val="Yu Gothic UI"/>
      </font>
      <fill>
        <patternFill patternType="solid">
          <fgColor rgb="FFFADBD8"/>
        </patternFill>
      </fill>
    </dxf>
    <dxf>
      <font>
        <b/>
        <sz val="11"/>
        <color rgb="FF922B21"/>
        <name val="Yu Gothic UI"/>
      </font>
      <fill>
        <patternFill patternType="solid">
          <fgColor rgb="FFF9EBEA"/>
        </patternFill>
      </fill>
    </dxf>
    <dxf>
      <font>
        <b/>
        <sz val="10"/>
        <color rgb="FF922B2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9EBEA"/>
        </patternFill>
      </fill>
    </dxf>
    <dxf>
      <font>
        <b/>
        <sz val="11"/>
        <name val="Yu Gothic UI"/>
      </font>
      <fill>
        <patternFill patternType="solid">
          <fgColor rgb="FFFADBD8"/>
        </patternFill>
      </fill>
    </dxf>
    <dxf>
      <font>
        <b/>
        <sz val="11"/>
        <name val="Yu Gothic UI"/>
      </font>
      <fill>
        <patternFill patternType="solid">
          <fgColor rgb="FFFDEBD0"/>
        </patternFill>
      </fill>
    </dxf>
    <dxf>
      <font>
        <b/>
        <sz val="11"/>
        <name val="Yu Gothic UI"/>
      </font>
      <fill>
        <patternFill patternType="solid">
          <fgColor rgb="FFFEF9E7"/>
        </patternFill>
      </fill>
    </dxf>
    <dxf>
      <font>
        <b/>
        <sz val="11"/>
        <name val="Yu Gothic UI"/>
      </font>
      <fill>
        <patternFill patternType="solid">
          <fgColor rgb="FFD6EAF8"/>
        </patternFill>
      </fill>
    </dxf>
    <dxf>
      <font>
        <b/>
        <sz val="11"/>
        <name val="Yu Gothic UI"/>
      </font>
      <fill>
        <patternFill patternType="solid">
          <f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4953000" cy="2209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144000" cy="409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276"/>
    <pageSetUpPr fitToPage="1"/>
  </sheetPr>
  <dimension ref="A1:T57"/>
  <sheetViews>
    <sheetView showGridLines="0" tabSelected="1" topLeftCell="A3" workbookViewId="0">
      <selection activeCell="K10" sqref="K10"/>
    </sheetView>
  </sheetViews>
  <sheetFormatPr defaultRowHeight="13.2"/>
  <cols>
    <col min="1" max="1" width="4" customWidth="1"/>
    <col min="2" max="2" width="12" customWidth="1"/>
    <col min="3" max="3" width="8" customWidth="1"/>
    <col min="4" max="4" width="9" customWidth="1"/>
    <col min="5" max="15" width="5" customWidth="1"/>
    <col min="16" max="16" width="6" customWidth="1"/>
    <col min="17" max="17" width="10" customWidth="1"/>
    <col min="18" max="18" width="6" customWidth="1"/>
    <col min="19" max="19" width="10" customWidth="1"/>
    <col min="20" max="20" width="11" customWidth="1"/>
  </cols>
  <sheetData>
    <row r="1" spans="1:20" ht="6" customHeight="1"/>
    <row r="2" spans="1:20" ht="30" customHeight="1">
      <c r="A2" s="82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8"/>
    </row>
    <row r="3" spans="1:20" ht="16.05" customHeight="1">
      <c r="A3" s="71" t="s">
        <v>1</v>
      </c>
      <c r="B3" s="67"/>
      <c r="C3" s="68"/>
      <c r="D3" s="69"/>
      <c r="E3" s="67"/>
      <c r="F3" s="67"/>
      <c r="G3" s="68"/>
      <c r="H3" s="71" t="s">
        <v>2</v>
      </c>
      <c r="I3" s="67"/>
      <c r="J3" s="68"/>
      <c r="K3" s="69"/>
      <c r="L3" s="67"/>
      <c r="M3" s="68"/>
      <c r="N3" s="71" t="s">
        <v>3</v>
      </c>
      <c r="O3" s="68"/>
      <c r="P3" s="69" t="s">
        <v>4</v>
      </c>
      <c r="Q3" s="68"/>
      <c r="R3" s="71" t="s">
        <v>5</v>
      </c>
      <c r="S3" s="68"/>
      <c r="T3" s="69"/>
    </row>
    <row r="4" spans="1:20" ht="16.05" customHeight="1">
      <c r="A4" s="84" t="s">
        <v>6</v>
      </c>
      <c r="B4" s="68"/>
      <c r="C4" s="74" t="s">
        <v>7</v>
      </c>
      <c r="D4" s="68"/>
      <c r="E4" s="75" t="s">
        <v>8</v>
      </c>
      <c r="F4" s="68"/>
      <c r="G4" s="85" t="s">
        <v>9</v>
      </c>
      <c r="H4" s="68"/>
      <c r="I4" s="87" t="s">
        <v>10</v>
      </c>
      <c r="J4" s="68"/>
      <c r="K4" s="90" t="s">
        <v>11</v>
      </c>
      <c r="L4" s="68"/>
      <c r="M4" s="91" t="s">
        <v>12</v>
      </c>
      <c r="N4" s="68"/>
      <c r="O4" s="70" t="s">
        <v>13</v>
      </c>
      <c r="P4" s="67"/>
      <c r="Q4" s="67"/>
      <c r="R4" s="67"/>
      <c r="S4" s="67"/>
      <c r="T4" s="68"/>
    </row>
    <row r="5" spans="1:20" ht="70.2" customHeight="1">
      <c r="A5" s="78" t="s">
        <v>14</v>
      </c>
      <c r="B5" s="64" t="s">
        <v>15</v>
      </c>
      <c r="C5" s="78" t="s">
        <v>16</v>
      </c>
      <c r="D5" s="64" t="s">
        <v>17</v>
      </c>
      <c r="E5" s="64" t="s">
        <v>18</v>
      </c>
      <c r="F5" s="83" t="s">
        <v>177</v>
      </c>
      <c r="G5" s="67"/>
      <c r="H5" s="67"/>
      <c r="I5" s="68"/>
      <c r="J5" s="36"/>
      <c r="K5" s="88" t="s">
        <v>178</v>
      </c>
      <c r="L5" s="67"/>
      <c r="M5" s="68"/>
      <c r="N5" s="37"/>
      <c r="O5" s="37"/>
      <c r="P5" s="86" t="s">
        <v>19</v>
      </c>
      <c r="Q5" s="64" t="s">
        <v>20</v>
      </c>
      <c r="R5" s="64" t="s">
        <v>21</v>
      </c>
      <c r="S5" s="64" t="s">
        <v>22</v>
      </c>
      <c r="T5" s="64" t="s">
        <v>23</v>
      </c>
    </row>
    <row r="6" spans="1:20" ht="30" customHeight="1">
      <c r="A6" s="65"/>
      <c r="B6" s="65"/>
      <c r="C6" s="65"/>
      <c r="D6" s="65"/>
      <c r="E6" s="65"/>
      <c r="F6" s="38" t="s">
        <v>24</v>
      </c>
      <c r="G6" s="38" t="s">
        <v>25</v>
      </c>
      <c r="H6" s="38" t="s">
        <v>26</v>
      </c>
      <c r="I6" s="38" t="s">
        <v>27</v>
      </c>
      <c r="J6" s="39"/>
      <c r="K6" s="40" t="s">
        <v>28</v>
      </c>
      <c r="L6" s="40" t="s">
        <v>29</v>
      </c>
      <c r="M6" s="40" t="s">
        <v>30</v>
      </c>
      <c r="N6" s="41"/>
      <c r="O6" s="41"/>
      <c r="P6" s="65"/>
      <c r="Q6" s="65"/>
      <c r="R6" s="65"/>
      <c r="S6" s="65"/>
      <c r="T6" s="65"/>
    </row>
    <row r="7" spans="1:20" ht="16.05" customHeight="1">
      <c r="A7" s="2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5"/>
      <c r="R7" s="3"/>
      <c r="S7" s="5"/>
      <c r="T7" s="5"/>
    </row>
    <row r="8" spans="1:20" ht="16.05" customHeight="1">
      <c r="A8" s="6">
        <v>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9"/>
      <c r="R8" s="7"/>
      <c r="S8" s="9"/>
      <c r="T8" s="9"/>
    </row>
    <row r="9" spans="1:20" ht="16.05" customHeight="1">
      <c r="A9" s="2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5"/>
      <c r="R9" s="3"/>
      <c r="S9" s="5"/>
      <c r="T9" s="5"/>
    </row>
    <row r="10" spans="1:20" ht="16.05" customHeight="1">
      <c r="A10" s="6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9"/>
      <c r="T10" s="9"/>
    </row>
    <row r="11" spans="1:20" ht="16.05" customHeight="1">
      <c r="A11" s="2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5"/>
      <c r="R11" s="3"/>
      <c r="S11" s="5"/>
      <c r="T11" s="5"/>
    </row>
    <row r="12" spans="1:20" ht="16.05" customHeight="1">
      <c r="A12" s="6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9"/>
      <c r="R12" s="7"/>
      <c r="S12" s="9"/>
      <c r="T12" s="9"/>
    </row>
    <row r="13" spans="1:20" ht="16.05" customHeight="1">
      <c r="A13" s="2">
        <v>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5"/>
      <c r="R13" s="3"/>
      <c r="S13" s="5"/>
      <c r="T13" s="5"/>
    </row>
    <row r="14" spans="1:20" ht="16.05" customHeight="1">
      <c r="A14" s="6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9"/>
      <c r="T14" s="9"/>
    </row>
    <row r="15" spans="1:20" ht="16.05" customHeight="1">
      <c r="A15" s="2">
        <v>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5"/>
      <c r="R15" s="3"/>
      <c r="S15" s="5"/>
      <c r="T15" s="5"/>
    </row>
    <row r="16" spans="1:20" ht="16.05" customHeight="1">
      <c r="A16" s="6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  <c r="Q16" s="9"/>
      <c r="R16" s="7"/>
      <c r="S16" s="9"/>
      <c r="T16" s="9"/>
    </row>
    <row r="17" spans="1:20" ht="16.05" customHeight="1">
      <c r="A17" s="2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5"/>
      <c r="R17" s="3"/>
      <c r="S17" s="5"/>
      <c r="T17" s="5"/>
    </row>
    <row r="18" spans="1:20" ht="16.05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9"/>
      <c r="R18" s="7"/>
      <c r="S18" s="9"/>
      <c r="T18" s="9"/>
    </row>
    <row r="19" spans="1:20" ht="16.05" customHeight="1">
      <c r="A19" s="2">
        <v>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5"/>
      <c r="R19" s="3"/>
      <c r="S19" s="5"/>
      <c r="T19" s="5"/>
    </row>
    <row r="20" spans="1:20" ht="16.05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  <c r="Q20" s="9"/>
      <c r="R20" s="7"/>
      <c r="S20" s="9"/>
      <c r="T20" s="9"/>
    </row>
    <row r="21" spans="1:20" ht="16.05" customHeight="1">
      <c r="A21" s="2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5"/>
      <c r="R21" s="3"/>
      <c r="S21" s="5"/>
      <c r="T21" s="5"/>
    </row>
    <row r="22" spans="1:20" ht="16.05" customHeight="1">
      <c r="A22" s="6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  <c r="Q22" s="9"/>
      <c r="R22" s="7"/>
      <c r="S22" s="9"/>
      <c r="T22" s="9"/>
    </row>
    <row r="23" spans="1:20" ht="16.05" customHeight="1">
      <c r="A23" s="2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5"/>
      <c r="R23" s="3"/>
      <c r="S23" s="5"/>
      <c r="T23" s="5"/>
    </row>
    <row r="24" spans="1:20" ht="16.05" customHeight="1">
      <c r="A24" s="6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  <c r="Q24" s="9"/>
      <c r="R24" s="7"/>
      <c r="S24" s="9"/>
      <c r="T24" s="9"/>
    </row>
    <row r="25" spans="1:20" ht="16.05" customHeight="1">
      <c r="A25" s="2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5"/>
      <c r="R25" s="3"/>
      <c r="S25" s="5"/>
      <c r="T25" s="5"/>
    </row>
    <row r="26" spans="1:20" ht="16.05" customHeight="1">
      <c r="A26" s="6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  <c r="Q26" s="9"/>
      <c r="R26" s="7"/>
      <c r="S26" s="9"/>
      <c r="T26" s="9"/>
    </row>
    <row r="27" spans="1:20" ht="16.05" customHeight="1">
      <c r="A27" s="2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5"/>
      <c r="R27" s="3"/>
      <c r="S27" s="5"/>
      <c r="T27" s="5"/>
    </row>
    <row r="28" spans="1:20" ht="16.05" customHeight="1">
      <c r="A28" s="6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  <c r="Q28" s="9"/>
      <c r="R28" s="7"/>
      <c r="S28" s="9"/>
      <c r="T28" s="9"/>
    </row>
    <row r="29" spans="1:20" ht="16.05" customHeight="1">
      <c r="A29" s="2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5"/>
      <c r="R29" s="3"/>
      <c r="S29" s="5"/>
      <c r="T29" s="5"/>
    </row>
    <row r="30" spans="1:20" ht="16.05" customHeight="1">
      <c r="A30" s="6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/>
      <c r="Q30" s="9"/>
      <c r="R30" s="7"/>
      <c r="S30" s="9"/>
      <c r="T30" s="9"/>
    </row>
    <row r="31" spans="1:20" ht="16.05" customHeight="1">
      <c r="A31" s="2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5"/>
      <c r="R31" s="3"/>
      <c r="S31" s="5"/>
      <c r="T31" s="5"/>
    </row>
    <row r="32" spans="1:20" ht="16.05" customHeight="1">
      <c r="A32" s="6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9"/>
      <c r="R32" s="7"/>
      <c r="S32" s="9"/>
      <c r="T32" s="9"/>
    </row>
    <row r="33" spans="1:20" ht="16.05" customHeight="1">
      <c r="A33" s="2">
        <v>27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5"/>
      <c r="R33" s="3"/>
      <c r="S33" s="5"/>
      <c r="T33" s="5"/>
    </row>
    <row r="34" spans="1:20" ht="16.05" customHeight="1">
      <c r="A34" s="6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Q34" s="9"/>
      <c r="R34" s="7"/>
      <c r="S34" s="9"/>
      <c r="T34" s="9"/>
    </row>
    <row r="35" spans="1:20" ht="16.05" customHeight="1">
      <c r="A35" s="2">
        <v>29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5"/>
      <c r="R35" s="3"/>
      <c r="S35" s="5"/>
      <c r="T35" s="5"/>
    </row>
    <row r="36" spans="1:20" ht="16.05" customHeight="1">
      <c r="A36" s="6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9"/>
      <c r="R36" s="7"/>
      <c r="S36" s="9"/>
      <c r="T36" s="9"/>
    </row>
    <row r="37" spans="1:20" ht="16.05" customHeight="1">
      <c r="A37" s="2">
        <v>31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5"/>
      <c r="R37" s="3"/>
      <c r="S37" s="5"/>
      <c r="T37" s="5"/>
    </row>
    <row r="38" spans="1:20" ht="16.05" customHeight="1">
      <c r="A38" s="6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9"/>
      <c r="R38" s="7"/>
      <c r="S38" s="9"/>
      <c r="T38" s="9"/>
    </row>
    <row r="39" spans="1:20" ht="16.05" customHeight="1">
      <c r="A39" s="2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5"/>
      <c r="R39" s="3"/>
      <c r="S39" s="5"/>
      <c r="T39" s="5"/>
    </row>
    <row r="40" spans="1:20" ht="16.05" customHeight="1">
      <c r="A40" s="6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9"/>
      <c r="R40" s="7"/>
      <c r="S40" s="9"/>
      <c r="T40" s="9"/>
    </row>
    <row r="41" spans="1:20" ht="16.05" customHeight="1">
      <c r="A41" s="2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5"/>
      <c r="R41" s="3"/>
      <c r="S41" s="5"/>
      <c r="T41" s="5"/>
    </row>
    <row r="42" spans="1:20" ht="16.05" customHeight="1">
      <c r="A42" s="6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9"/>
      <c r="R42" s="7"/>
      <c r="S42" s="9"/>
      <c r="T42" s="9"/>
    </row>
    <row r="43" spans="1:20" ht="16.05" customHeight="1">
      <c r="A43" s="2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5"/>
      <c r="R43" s="3"/>
      <c r="S43" s="5"/>
      <c r="T43" s="5"/>
    </row>
    <row r="44" spans="1:20" ht="16.05" customHeight="1">
      <c r="A44" s="6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/>
      <c r="Q44" s="9"/>
      <c r="R44" s="7"/>
      <c r="S44" s="9"/>
      <c r="T44" s="9"/>
    </row>
    <row r="45" spans="1:20" ht="16.05" customHeight="1">
      <c r="A45" s="2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5"/>
      <c r="R45" s="3"/>
      <c r="S45" s="5"/>
      <c r="T45" s="5"/>
    </row>
    <row r="46" spans="1:20" ht="16.05" customHeight="1">
      <c r="A46" s="6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s="9"/>
      <c r="R46" s="7"/>
      <c r="S46" s="9"/>
      <c r="T46" s="9"/>
    </row>
    <row r="47" spans="1:20" ht="6" customHeight="1"/>
    <row r="48" spans="1:20" ht="18" customHeight="1">
      <c r="A48" s="73" t="s">
        <v>31</v>
      </c>
      <c r="B48" s="67"/>
      <c r="C48" s="68"/>
      <c r="H48" s="73" t="s">
        <v>32</v>
      </c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8"/>
    </row>
    <row r="49" spans="1:20" ht="18" customHeight="1">
      <c r="A49" s="66" t="s">
        <v>33</v>
      </c>
      <c r="B49" s="67"/>
      <c r="C49" s="67"/>
      <c r="D49" s="68"/>
      <c r="E49" s="76">
        <f>COUNTA(B7:B46)</f>
        <v>0</v>
      </c>
      <c r="F49" s="67"/>
      <c r="G49" s="68"/>
      <c r="H49" s="66" t="s">
        <v>34</v>
      </c>
      <c r="I49" s="67"/>
      <c r="J49" s="68"/>
      <c r="K49" s="77" t="s">
        <v>35</v>
      </c>
      <c r="L49" s="67"/>
      <c r="M49" s="67"/>
      <c r="N49" s="67"/>
      <c r="O49" s="67"/>
      <c r="P49" s="67"/>
      <c r="Q49" s="67"/>
      <c r="R49" s="67"/>
      <c r="S49" s="67"/>
      <c r="T49" s="68"/>
    </row>
    <row r="50" spans="1:20" ht="18" customHeight="1">
      <c r="A50" s="66" t="s">
        <v>36</v>
      </c>
      <c r="B50" s="67"/>
      <c r="C50" s="67"/>
      <c r="D50" s="68"/>
      <c r="E50" s="76">
        <f>COUNTIF(P7:P46,"&gt;=2")</f>
        <v>0</v>
      </c>
      <c r="F50" s="67"/>
      <c r="G50" s="68"/>
      <c r="H50" s="66" t="s">
        <v>37</v>
      </c>
      <c r="I50" s="67"/>
      <c r="J50" s="68"/>
      <c r="K50" s="77" t="s">
        <v>38</v>
      </c>
      <c r="L50" s="67"/>
      <c r="M50" s="67"/>
      <c r="N50" s="67"/>
      <c r="O50" s="67"/>
      <c r="P50" s="67"/>
      <c r="Q50" s="67"/>
      <c r="R50" s="67"/>
      <c r="S50" s="67"/>
      <c r="T50" s="68"/>
    </row>
    <row r="51" spans="1:20" ht="18" customHeight="1">
      <c r="A51" s="66" t="s">
        <v>39</v>
      </c>
      <c r="B51" s="67"/>
      <c r="C51" s="67"/>
      <c r="D51" s="68"/>
      <c r="E51" s="92" t="str">
        <f>IFERROR(COUNTIF(P7:P46,"&gt;=2")/COUNTA(B7:B46)*100,"")</f>
        <v/>
      </c>
      <c r="F51" s="67"/>
      <c r="G51" s="68"/>
      <c r="H51" s="66" t="s">
        <v>40</v>
      </c>
      <c r="I51" s="67"/>
      <c r="J51" s="68"/>
      <c r="K51" s="81" t="s">
        <v>41</v>
      </c>
      <c r="L51" s="67"/>
      <c r="M51" s="67"/>
      <c r="N51" s="67"/>
      <c r="O51" s="67"/>
      <c r="P51" s="67"/>
      <c r="Q51" s="67"/>
      <c r="R51" s="67"/>
      <c r="S51" s="67"/>
      <c r="T51" s="68"/>
    </row>
    <row r="52" spans="1:20" ht="18" customHeight="1">
      <c r="A52" s="66" t="s">
        <v>42</v>
      </c>
      <c r="B52" s="67"/>
      <c r="C52" s="67"/>
      <c r="D52" s="68"/>
      <c r="E52" s="76">
        <f>COUNTIF(P7:P46,0)</f>
        <v>0</v>
      </c>
      <c r="F52" s="67"/>
      <c r="G52" s="68"/>
      <c r="H52" s="66" t="s">
        <v>43</v>
      </c>
      <c r="I52" s="67"/>
      <c r="J52" s="68"/>
      <c r="K52" s="89" t="s">
        <v>44</v>
      </c>
      <c r="L52" s="67"/>
      <c r="M52" s="67"/>
      <c r="N52" s="67"/>
      <c r="O52" s="67"/>
      <c r="P52" s="67"/>
      <c r="Q52" s="67"/>
      <c r="R52" s="67"/>
      <c r="S52" s="67"/>
      <c r="T52" s="68"/>
    </row>
    <row r="53" spans="1:20" ht="18" customHeight="1">
      <c r="A53" s="66" t="s">
        <v>45</v>
      </c>
      <c r="B53" s="67"/>
      <c r="C53" s="67"/>
      <c r="D53" s="68"/>
      <c r="E53" s="76">
        <f>COUNTIF(P7:P46,"&gt;=4")</f>
        <v>0</v>
      </c>
      <c r="F53" s="67"/>
      <c r="G53" s="68"/>
      <c r="H53" s="66" t="s">
        <v>46</v>
      </c>
      <c r="I53" s="67"/>
      <c r="J53" s="68"/>
      <c r="K53" s="72" t="s">
        <v>47</v>
      </c>
      <c r="L53" s="67"/>
      <c r="M53" s="67"/>
      <c r="N53" s="67"/>
      <c r="O53" s="67"/>
      <c r="P53" s="67"/>
      <c r="Q53" s="67"/>
      <c r="R53" s="67"/>
      <c r="S53" s="67"/>
      <c r="T53" s="68"/>
    </row>
    <row r="54" spans="1:20" ht="6" customHeight="1"/>
    <row r="55" spans="1:20" ht="7.95" customHeight="1">
      <c r="A55" s="80" t="s">
        <v>48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8"/>
    </row>
    <row r="56" spans="1:20" ht="43.95" customHeight="1">
      <c r="A56" s="79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8"/>
    </row>
    <row r="57" spans="1:20" ht="7.95" customHeight="1"/>
  </sheetData>
  <mergeCells count="53">
    <mergeCell ref="A2:T2"/>
    <mergeCell ref="R3:S3"/>
    <mergeCell ref="K3:M3"/>
    <mergeCell ref="F5:I5"/>
    <mergeCell ref="A48:C48"/>
    <mergeCell ref="B5:B6"/>
    <mergeCell ref="D5:D6"/>
    <mergeCell ref="A4:B4"/>
    <mergeCell ref="G4:H4"/>
    <mergeCell ref="P5:P6"/>
    <mergeCell ref="P3:Q3"/>
    <mergeCell ref="I4:J4"/>
    <mergeCell ref="R5:R6"/>
    <mergeCell ref="K5:M5"/>
    <mergeCell ref="K4:L4"/>
    <mergeCell ref="M4:N4"/>
    <mergeCell ref="S5:S6"/>
    <mergeCell ref="A56:T56"/>
    <mergeCell ref="E53:G53"/>
    <mergeCell ref="A55:T55"/>
    <mergeCell ref="K51:T51"/>
    <mergeCell ref="E50:G50"/>
    <mergeCell ref="H53:J53"/>
    <mergeCell ref="K50:T50"/>
    <mergeCell ref="E52:G52"/>
    <mergeCell ref="H50:J50"/>
    <mergeCell ref="A50:D50"/>
    <mergeCell ref="K52:T52"/>
    <mergeCell ref="E51:G51"/>
    <mergeCell ref="C5:C6"/>
    <mergeCell ref="A53:D53"/>
    <mergeCell ref="H52:J52"/>
    <mergeCell ref="O4:T4"/>
    <mergeCell ref="A52:D52"/>
    <mergeCell ref="A3:C3"/>
    <mergeCell ref="T5:T6"/>
    <mergeCell ref="K53:T53"/>
    <mergeCell ref="H48:T48"/>
    <mergeCell ref="C4:D4"/>
    <mergeCell ref="E4:F4"/>
    <mergeCell ref="N3:O3"/>
    <mergeCell ref="E49:G49"/>
    <mergeCell ref="T3"/>
    <mergeCell ref="K49:T49"/>
    <mergeCell ref="A49:D49"/>
    <mergeCell ref="H3:J3"/>
    <mergeCell ref="E5:E6"/>
    <mergeCell ref="H49:J49"/>
    <mergeCell ref="Q5:Q6"/>
    <mergeCell ref="D3:G3"/>
    <mergeCell ref="H51:J51"/>
    <mergeCell ref="A51:D51"/>
    <mergeCell ref="A5:A6"/>
  </mergeCells>
  <phoneticPr fontId="21"/>
  <conditionalFormatting sqref="P7:P46">
    <cfRule type="cellIs" dxfId="34" priority="1" operator="between">
      <formula>0</formula>
      <formula>0</formula>
    </cfRule>
    <cfRule type="cellIs" dxfId="33" priority="2" operator="between">
      <formula>1</formula>
      <formula>1</formula>
    </cfRule>
    <cfRule type="cellIs" dxfId="32" priority="3" operator="between">
      <formula>2</formula>
      <formula>2</formula>
    </cfRule>
    <cfRule type="cellIs" dxfId="31" priority="4" operator="between">
      <formula>3</formula>
      <formula>3</formula>
    </cfRule>
    <cfRule type="cellIs" dxfId="30" priority="5" operator="between">
      <formula>4</formula>
      <formula>4</formula>
    </cfRule>
    <cfRule type="cellIs" dxfId="29" priority="6" operator="between">
      <formula>5</formula>
      <formula>5</formula>
    </cfRule>
  </conditionalFormatting>
  <conditionalFormatting sqref="R7:R46">
    <cfRule type="cellIs" dxfId="28" priority="7" operator="equal">
      <formula>"○"</formula>
    </cfRule>
  </conditionalFormatting>
  <pageMargins left="0.75" right="0.75" top="1" bottom="1" header="0.5" footer="0.5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3.2"/>
  <sheetData>
    <row r="1" spans="1:10" ht="22.0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3.95" customHeight="1">
      <c r="A2" s="95" t="s">
        <v>50</v>
      </c>
      <c r="B2" s="94"/>
      <c r="C2" s="94"/>
      <c r="D2" s="94"/>
      <c r="E2" s="94"/>
      <c r="F2" s="94"/>
      <c r="G2" s="94"/>
      <c r="H2" s="94"/>
      <c r="I2" s="94"/>
      <c r="J2" s="94"/>
    </row>
  </sheetData>
  <mergeCells count="2">
    <mergeCell ref="A1:J1"/>
    <mergeCell ref="A2:J2"/>
  </mergeCells>
  <phoneticPr fontId="2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  <pageSetUpPr fitToPage="1"/>
  </sheetPr>
  <dimension ref="A1:M30"/>
  <sheetViews>
    <sheetView showGridLines="0" workbookViewId="0"/>
  </sheetViews>
  <sheetFormatPr defaultRowHeight="13.2"/>
  <cols>
    <col min="1" max="1" width="5" customWidth="1"/>
    <col min="2" max="2" width="11" customWidth="1"/>
    <col min="3" max="8" width="8" customWidth="1"/>
    <col min="9" max="12" width="9" customWidth="1"/>
    <col min="13" max="13" width="14" customWidth="1"/>
  </cols>
  <sheetData>
    <row r="1" spans="1:13" ht="6" customHeight="1"/>
    <row r="2" spans="1:13" ht="30" customHeight="1">
      <c r="A2" s="82" t="s">
        <v>51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6.05" customHeight="1">
      <c r="A3" s="71" t="s">
        <v>1</v>
      </c>
      <c r="B3" s="67"/>
      <c r="C3" s="68"/>
      <c r="D3" s="69"/>
      <c r="E3" s="67"/>
      <c r="F3" s="68"/>
      <c r="G3" s="71" t="s">
        <v>52</v>
      </c>
      <c r="H3" s="68"/>
      <c r="I3" s="69"/>
      <c r="J3" s="68"/>
      <c r="K3" s="71" t="s">
        <v>53</v>
      </c>
      <c r="L3" s="68"/>
      <c r="M3" s="71" t="s">
        <v>54</v>
      </c>
    </row>
    <row r="4" spans="1:13" ht="7.95" customHeight="1"/>
    <row r="5" spans="1:13" ht="22.05" customHeight="1">
      <c r="A5" s="78" t="s">
        <v>14</v>
      </c>
      <c r="B5" s="78" t="s">
        <v>55</v>
      </c>
      <c r="C5" s="64" t="s">
        <v>56</v>
      </c>
      <c r="D5" s="64" t="s">
        <v>57</v>
      </c>
      <c r="E5" s="64" t="s">
        <v>58</v>
      </c>
      <c r="F5" s="78" t="s">
        <v>59</v>
      </c>
      <c r="G5" s="67"/>
      <c r="H5" s="68"/>
      <c r="I5" s="64" t="s">
        <v>60</v>
      </c>
      <c r="J5" s="86" t="s">
        <v>61</v>
      </c>
      <c r="K5" s="64" t="s">
        <v>62</v>
      </c>
      <c r="L5" s="64" t="s">
        <v>63</v>
      </c>
      <c r="M5" s="64" t="s">
        <v>64</v>
      </c>
    </row>
    <row r="6" spans="1:13" ht="22.05" customHeight="1">
      <c r="A6" s="65"/>
      <c r="B6" s="65"/>
      <c r="C6" s="65"/>
      <c r="D6" s="65"/>
      <c r="E6" s="65"/>
      <c r="F6" s="1" t="s">
        <v>65</v>
      </c>
      <c r="G6" s="1" t="s">
        <v>66</v>
      </c>
      <c r="H6" s="1" t="s">
        <v>67</v>
      </c>
      <c r="I6" s="65"/>
      <c r="J6" s="65"/>
      <c r="K6" s="65"/>
      <c r="L6" s="65"/>
      <c r="M6" s="65"/>
    </row>
    <row r="7" spans="1:13" ht="18" customHeight="1">
      <c r="A7" s="2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5"/>
    </row>
    <row r="8" spans="1:13" ht="18" customHeight="1">
      <c r="A8" s="6">
        <v>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9"/>
    </row>
    <row r="9" spans="1:13" ht="18" customHeight="1">
      <c r="A9" s="2">
        <v>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5"/>
    </row>
    <row r="10" spans="1:13" ht="18" customHeight="1">
      <c r="A10" s="6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9"/>
    </row>
    <row r="11" spans="1:13" ht="18" customHeight="1">
      <c r="A11" s="2">
        <v>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5"/>
    </row>
    <row r="12" spans="1:13" ht="18" customHeight="1">
      <c r="A12" s="6"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9"/>
    </row>
    <row r="13" spans="1:13" ht="18" customHeight="1">
      <c r="A13" s="2">
        <v>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5"/>
    </row>
    <row r="14" spans="1:13" ht="18" customHeight="1">
      <c r="A14" s="6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9"/>
    </row>
    <row r="15" spans="1:13" ht="18" customHeight="1">
      <c r="A15" s="2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5"/>
    </row>
    <row r="16" spans="1:13" ht="18" customHeight="1">
      <c r="A16" s="6">
        <v>10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9"/>
    </row>
    <row r="17" spans="1:13" ht="18" customHeight="1">
      <c r="A17" s="2">
        <v>11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5"/>
    </row>
    <row r="18" spans="1:13" ht="18" customHeight="1">
      <c r="A18" s="6"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9"/>
    </row>
    <row r="19" spans="1:13" ht="18" customHeight="1">
      <c r="A19" s="2">
        <v>13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5"/>
    </row>
    <row r="20" spans="1:13" ht="18" customHeight="1">
      <c r="A20" s="6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9"/>
    </row>
    <row r="21" spans="1:13" ht="18" customHeight="1">
      <c r="A21" s="2">
        <v>15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5"/>
    </row>
    <row r="22" spans="1:13" ht="18" customHeight="1">
      <c r="A22" s="6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9"/>
    </row>
    <row r="23" spans="1:13" ht="18" customHeight="1">
      <c r="A23" s="2">
        <v>17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"/>
    </row>
    <row r="24" spans="1:13" ht="18" customHeight="1">
      <c r="A24" s="6">
        <v>18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9"/>
    </row>
    <row r="25" spans="1:13" ht="18" customHeight="1">
      <c r="A25" s="2">
        <v>19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5"/>
    </row>
    <row r="26" spans="1:13" ht="18" customHeight="1">
      <c r="A26" s="6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9"/>
    </row>
    <row r="27" spans="1:13" ht="6" customHeight="1"/>
    <row r="28" spans="1:13" ht="18" customHeight="1">
      <c r="A28" s="71" t="s">
        <v>68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</row>
    <row r="29" spans="1:13" ht="13.95" customHeight="1">
      <c r="A29" s="80" t="s">
        <v>69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</row>
    <row r="30" spans="1:13" ht="49.95" customHeight="1">
      <c r="A30" s="79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8"/>
    </row>
  </sheetData>
  <mergeCells count="21">
    <mergeCell ref="A2:M2"/>
    <mergeCell ref="K5:K6"/>
    <mergeCell ref="K3:L3"/>
    <mergeCell ref="C5:C6"/>
    <mergeCell ref="A30:M30"/>
    <mergeCell ref="D3:F3"/>
    <mergeCell ref="M5:M6"/>
    <mergeCell ref="G3:H3"/>
    <mergeCell ref="I5:I6"/>
    <mergeCell ref="I3:J3"/>
    <mergeCell ref="A5:A6"/>
    <mergeCell ref="B5:B6"/>
    <mergeCell ref="D5:D6"/>
    <mergeCell ref="J5:J6"/>
    <mergeCell ref="E5:E6"/>
    <mergeCell ref="M3"/>
    <mergeCell ref="F5:H5"/>
    <mergeCell ref="A3:C3"/>
    <mergeCell ref="A29:M29"/>
    <mergeCell ref="A28:M28"/>
    <mergeCell ref="L5:L6"/>
  </mergeCells>
  <phoneticPr fontId="21"/>
  <conditionalFormatting sqref="J7:J26">
    <cfRule type="cellIs" dxfId="27" priority="1" operator="greaterThan">
      <formula>30</formula>
    </cfRule>
    <cfRule type="cellIs" dxfId="26" priority="2" operator="between">
      <formula>20</formula>
      <formula>30</formula>
    </cfRule>
    <cfRule type="cellIs" dxfId="25" priority="3" operator="between">
      <formula>15</formula>
      <formula>19.99</formula>
    </cfRule>
    <cfRule type="cellIs" dxfId="24" priority="4" operator="lessThan">
      <formula>15</formula>
    </cfRule>
  </conditionalFormatting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  <pageSetUpPr fitToPage="1"/>
  </sheetPr>
  <dimension ref="A1:T36"/>
  <sheetViews>
    <sheetView showGridLines="0" workbookViewId="0"/>
  </sheetViews>
  <sheetFormatPr defaultRowHeight="13.2"/>
  <cols>
    <col min="1" max="1" width="4" customWidth="1"/>
    <col min="2" max="2" width="12" customWidth="1"/>
    <col min="3" max="3" width="7" customWidth="1"/>
    <col min="4" max="4" width="9" customWidth="1"/>
    <col min="5" max="6" width="6" customWidth="1"/>
    <col min="7" max="7" width="12" customWidth="1"/>
    <col min="8" max="8" width="9" customWidth="1"/>
    <col min="9" max="10" width="6" customWidth="1"/>
    <col min="11" max="11" width="12" customWidth="1"/>
    <col min="12" max="12" width="9" customWidth="1"/>
    <col min="13" max="14" width="6" customWidth="1"/>
    <col min="15" max="15" width="12" customWidth="1"/>
    <col min="16" max="16" width="9" customWidth="1"/>
    <col min="17" max="18" width="6" customWidth="1"/>
    <col min="19" max="19" width="12" customWidth="1"/>
    <col min="20" max="20" width="14" customWidth="1"/>
  </cols>
  <sheetData>
    <row r="1" spans="1:20" ht="6" customHeight="1"/>
    <row r="2" spans="1:20" ht="30" customHeight="1">
      <c r="A2" s="99" t="s">
        <v>70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8"/>
    </row>
    <row r="3" spans="1:20" ht="16.05" customHeight="1">
      <c r="A3" s="71" t="s">
        <v>1</v>
      </c>
      <c r="B3" s="67"/>
      <c r="C3" s="68"/>
      <c r="D3" s="71" t="s">
        <v>52</v>
      </c>
      <c r="E3" s="67"/>
      <c r="F3" s="67"/>
      <c r="G3" s="68"/>
      <c r="H3" s="71" t="s">
        <v>3</v>
      </c>
      <c r="I3" s="67"/>
      <c r="J3" s="67"/>
      <c r="K3" s="68"/>
      <c r="L3" s="71" t="s">
        <v>71</v>
      </c>
      <c r="M3" s="67"/>
      <c r="N3" s="67"/>
      <c r="O3" s="68"/>
      <c r="P3" s="98"/>
      <c r="Q3" s="67"/>
      <c r="R3" s="67"/>
      <c r="S3" s="67"/>
      <c r="T3" s="68"/>
    </row>
    <row r="4" spans="1:20" ht="7.95" customHeight="1"/>
    <row r="5" spans="1:20" ht="22.05" customHeight="1">
      <c r="A5" s="78" t="s">
        <v>14</v>
      </c>
      <c r="B5" s="78" t="s">
        <v>72</v>
      </c>
      <c r="C5" s="64" t="s">
        <v>73</v>
      </c>
      <c r="D5" s="78" t="s">
        <v>74</v>
      </c>
      <c r="E5" s="67"/>
      <c r="F5" s="67"/>
      <c r="G5" s="68"/>
      <c r="H5" s="101" t="s">
        <v>75</v>
      </c>
      <c r="I5" s="67"/>
      <c r="J5" s="67"/>
      <c r="K5" s="68"/>
      <c r="L5" s="96" t="s">
        <v>76</v>
      </c>
      <c r="M5" s="67"/>
      <c r="N5" s="67"/>
      <c r="O5" s="68"/>
      <c r="P5" s="97" t="s">
        <v>77</v>
      </c>
      <c r="Q5" s="67"/>
      <c r="R5" s="67"/>
      <c r="S5" s="68"/>
      <c r="T5" s="100" t="s">
        <v>78</v>
      </c>
    </row>
    <row r="6" spans="1:20" ht="22.05" customHeight="1">
      <c r="A6" s="65"/>
      <c r="B6" s="65"/>
      <c r="C6" s="65"/>
      <c r="D6" s="12" t="s">
        <v>79</v>
      </c>
      <c r="E6" s="12" t="s">
        <v>80</v>
      </c>
      <c r="F6" s="12" t="s">
        <v>21</v>
      </c>
      <c r="G6" s="12" t="s">
        <v>81</v>
      </c>
      <c r="H6" s="13" t="s">
        <v>79</v>
      </c>
      <c r="I6" s="13" t="s">
        <v>80</v>
      </c>
      <c r="J6" s="13" t="s">
        <v>21</v>
      </c>
      <c r="K6" s="13" t="s">
        <v>81</v>
      </c>
      <c r="L6" s="14" t="s">
        <v>79</v>
      </c>
      <c r="M6" s="14" t="s">
        <v>80</v>
      </c>
      <c r="N6" s="14" t="s">
        <v>21</v>
      </c>
      <c r="O6" s="14" t="s">
        <v>81</v>
      </c>
      <c r="P6" s="15" t="s">
        <v>79</v>
      </c>
      <c r="Q6" s="15" t="s">
        <v>80</v>
      </c>
      <c r="R6" s="15" t="s">
        <v>21</v>
      </c>
      <c r="S6" s="15" t="s">
        <v>81</v>
      </c>
      <c r="T6" s="65"/>
    </row>
    <row r="7" spans="1:20" ht="18" customHeight="1">
      <c r="A7" s="2">
        <v>1</v>
      </c>
      <c r="B7" s="16"/>
      <c r="C7" s="16"/>
      <c r="D7" s="16"/>
      <c r="E7" s="16"/>
      <c r="F7" s="16"/>
      <c r="G7" s="17"/>
      <c r="H7" s="16"/>
      <c r="I7" s="16"/>
      <c r="J7" s="16"/>
      <c r="K7" s="17"/>
      <c r="L7" s="16"/>
      <c r="M7" s="16"/>
      <c r="N7" s="16"/>
      <c r="O7" s="17"/>
      <c r="P7" s="16"/>
      <c r="Q7" s="16"/>
      <c r="R7" s="16"/>
      <c r="S7" s="17"/>
      <c r="T7" s="17"/>
    </row>
    <row r="8" spans="1:20" ht="18" customHeight="1">
      <c r="A8" s="6">
        <v>2</v>
      </c>
      <c r="B8" s="18"/>
      <c r="C8" s="18"/>
      <c r="D8" s="18"/>
      <c r="E8" s="18"/>
      <c r="F8" s="18"/>
      <c r="G8" s="19"/>
      <c r="H8" s="18"/>
      <c r="I8" s="18"/>
      <c r="J8" s="18"/>
      <c r="K8" s="19"/>
      <c r="L8" s="18"/>
      <c r="M8" s="18"/>
      <c r="N8" s="18"/>
      <c r="O8" s="19"/>
      <c r="P8" s="18"/>
      <c r="Q8" s="18"/>
      <c r="R8" s="18"/>
      <c r="S8" s="19"/>
      <c r="T8" s="19"/>
    </row>
    <row r="9" spans="1:20" ht="18" customHeight="1">
      <c r="A9" s="2">
        <v>3</v>
      </c>
      <c r="B9" s="16"/>
      <c r="C9" s="16"/>
      <c r="D9" s="16"/>
      <c r="E9" s="16"/>
      <c r="F9" s="16"/>
      <c r="G9" s="17"/>
      <c r="H9" s="16"/>
      <c r="I9" s="16"/>
      <c r="J9" s="16"/>
      <c r="K9" s="17"/>
      <c r="L9" s="16"/>
      <c r="M9" s="16"/>
      <c r="N9" s="16"/>
      <c r="O9" s="17"/>
      <c r="P9" s="16"/>
      <c r="Q9" s="16"/>
      <c r="R9" s="16"/>
      <c r="S9" s="17"/>
      <c r="T9" s="17"/>
    </row>
    <row r="10" spans="1:20" ht="18" customHeight="1">
      <c r="A10" s="6">
        <v>4</v>
      </c>
      <c r="B10" s="18"/>
      <c r="C10" s="18"/>
      <c r="D10" s="18"/>
      <c r="E10" s="18"/>
      <c r="F10" s="18"/>
      <c r="G10" s="19"/>
      <c r="H10" s="18"/>
      <c r="I10" s="18"/>
      <c r="J10" s="18"/>
      <c r="K10" s="19"/>
      <c r="L10" s="18"/>
      <c r="M10" s="18"/>
      <c r="N10" s="18"/>
      <c r="O10" s="19"/>
      <c r="P10" s="18"/>
      <c r="Q10" s="18"/>
      <c r="R10" s="18"/>
      <c r="S10" s="19"/>
      <c r="T10" s="19"/>
    </row>
    <row r="11" spans="1:20" ht="18" customHeight="1">
      <c r="A11" s="2">
        <v>5</v>
      </c>
      <c r="B11" s="16"/>
      <c r="C11" s="16"/>
      <c r="D11" s="16"/>
      <c r="E11" s="16"/>
      <c r="F11" s="16"/>
      <c r="G11" s="17"/>
      <c r="H11" s="16"/>
      <c r="I11" s="16"/>
      <c r="J11" s="16"/>
      <c r="K11" s="17"/>
      <c r="L11" s="16"/>
      <c r="M11" s="16"/>
      <c r="N11" s="16"/>
      <c r="O11" s="17"/>
      <c r="P11" s="16"/>
      <c r="Q11" s="16"/>
      <c r="R11" s="16"/>
      <c r="S11" s="17"/>
      <c r="T11" s="17"/>
    </row>
    <row r="12" spans="1:20" ht="18" customHeight="1">
      <c r="A12" s="6">
        <v>6</v>
      </c>
      <c r="B12" s="18"/>
      <c r="C12" s="18"/>
      <c r="D12" s="18"/>
      <c r="E12" s="18"/>
      <c r="F12" s="18"/>
      <c r="G12" s="19"/>
      <c r="H12" s="18"/>
      <c r="I12" s="18"/>
      <c r="J12" s="18"/>
      <c r="K12" s="19"/>
      <c r="L12" s="18"/>
      <c r="M12" s="18"/>
      <c r="N12" s="18"/>
      <c r="O12" s="19"/>
      <c r="P12" s="18"/>
      <c r="Q12" s="18"/>
      <c r="R12" s="18"/>
      <c r="S12" s="19"/>
      <c r="T12" s="19"/>
    </row>
    <row r="13" spans="1:20" ht="18" customHeight="1">
      <c r="A13" s="2">
        <v>7</v>
      </c>
      <c r="B13" s="16"/>
      <c r="C13" s="16"/>
      <c r="D13" s="16"/>
      <c r="E13" s="16"/>
      <c r="F13" s="16"/>
      <c r="G13" s="17"/>
      <c r="H13" s="16"/>
      <c r="I13" s="16"/>
      <c r="J13" s="16"/>
      <c r="K13" s="17"/>
      <c r="L13" s="16"/>
      <c r="M13" s="16"/>
      <c r="N13" s="16"/>
      <c r="O13" s="17"/>
      <c r="P13" s="16"/>
      <c r="Q13" s="16"/>
      <c r="R13" s="16"/>
      <c r="S13" s="17"/>
      <c r="T13" s="17"/>
    </row>
    <row r="14" spans="1:20" ht="18" customHeight="1">
      <c r="A14" s="6">
        <v>8</v>
      </c>
      <c r="B14" s="18"/>
      <c r="C14" s="18"/>
      <c r="D14" s="18"/>
      <c r="E14" s="18"/>
      <c r="F14" s="18"/>
      <c r="G14" s="19"/>
      <c r="H14" s="18"/>
      <c r="I14" s="18"/>
      <c r="J14" s="18"/>
      <c r="K14" s="19"/>
      <c r="L14" s="18"/>
      <c r="M14" s="18"/>
      <c r="N14" s="18"/>
      <c r="O14" s="19"/>
      <c r="P14" s="18"/>
      <c r="Q14" s="18"/>
      <c r="R14" s="18"/>
      <c r="S14" s="19"/>
      <c r="T14" s="19"/>
    </row>
    <row r="15" spans="1:20" ht="18" customHeight="1">
      <c r="A15" s="2">
        <v>9</v>
      </c>
      <c r="B15" s="16"/>
      <c r="C15" s="16"/>
      <c r="D15" s="16"/>
      <c r="E15" s="16"/>
      <c r="F15" s="16"/>
      <c r="G15" s="17"/>
      <c r="H15" s="16"/>
      <c r="I15" s="16"/>
      <c r="J15" s="16"/>
      <c r="K15" s="17"/>
      <c r="L15" s="16"/>
      <c r="M15" s="16"/>
      <c r="N15" s="16"/>
      <c r="O15" s="17"/>
      <c r="P15" s="16"/>
      <c r="Q15" s="16"/>
      <c r="R15" s="16"/>
      <c r="S15" s="17"/>
      <c r="T15" s="17"/>
    </row>
    <row r="16" spans="1:20" ht="18" customHeight="1">
      <c r="A16" s="6">
        <v>10</v>
      </c>
      <c r="B16" s="18"/>
      <c r="C16" s="18"/>
      <c r="D16" s="18"/>
      <c r="E16" s="18"/>
      <c r="F16" s="18"/>
      <c r="G16" s="19"/>
      <c r="H16" s="18"/>
      <c r="I16" s="18"/>
      <c r="J16" s="18"/>
      <c r="K16" s="19"/>
      <c r="L16" s="18"/>
      <c r="M16" s="18"/>
      <c r="N16" s="18"/>
      <c r="O16" s="19"/>
      <c r="P16" s="18"/>
      <c r="Q16" s="18"/>
      <c r="R16" s="18"/>
      <c r="S16" s="19"/>
      <c r="T16" s="19"/>
    </row>
    <row r="17" spans="1:20" ht="18" customHeight="1">
      <c r="A17" s="2">
        <v>11</v>
      </c>
      <c r="B17" s="16"/>
      <c r="C17" s="16"/>
      <c r="D17" s="16"/>
      <c r="E17" s="16"/>
      <c r="F17" s="16"/>
      <c r="G17" s="17"/>
      <c r="H17" s="16"/>
      <c r="I17" s="16"/>
      <c r="J17" s="16"/>
      <c r="K17" s="17"/>
      <c r="L17" s="16"/>
      <c r="M17" s="16"/>
      <c r="N17" s="16"/>
      <c r="O17" s="17"/>
      <c r="P17" s="16"/>
      <c r="Q17" s="16"/>
      <c r="R17" s="16"/>
      <c r="S17" s="17"/>
      <c r="T17" s="17"/>
    </row>
    <row r="18" spans="1:20" ht="18" customHeight="1">
      <c r="A18" s="6">
        <v>12</v>
      </c>
      <c r="B18" s="18"/>
      <c r="C18" s="18"/>
      <c r="D18" s="18"/>
      <c r="E18" s="18"/>
      <c r="F18" s="18"/>
      <c r="G18" s="19"/>
      <c r="H18" s="18"/>
      <c r="I18" s="18"/>
      <c r="J18" s="18"/>
      <c r="K18" s="19"/>
      <c r="L18" s="18"/>
      <c r="M18" s="18"/>
      <c r="N18" s="18"/>
      <c r="O18" s="19"/>
      <c r="P18" s="18"/>
      <c r="Q18" s="18"/>
      <c r="R18" s="18"/>
      <c r="S18" s="19"/>
      <c r="T18" s="19"/>
    </row>
    <row r="19" spans="1:20" ht="18" customHeight="1">
      <c r="A19" s="2">
        <v>13</v>
      </c>
      <c r="B19" s="16"/>
      <c r="C19" s="16"/>
      <c r="D19" s="16"/>
      <c r="E19" s="16"/>
      <c r="F19" s="16"/>
      <c r="G19" s="17"/>
      <c r="H19" s="16"/>
      <c r="I19" s="16"/>
      <c r="J19" s="16"/>
      <c r="K19" s="17"/>
      <c r="L19" s="16"/>
      <c r="M19" s="16"/>
      <c r="N19" s="16"/>
      <c r="O19" s="17"/>
      <c r="P19" s="16"/>
      <c r="Q19" s="16"/>
      <c r="R19" s="16"/>
      <c r="S19" s="17"/>
      <c r="T19" s="17"/>
    </row>
    <row r="20" spans="1:20" ht="18" customHeight="1">
      <c r="A20" s="6">
        <v>14</v>
      </c>
      <c r="B20" s="18"/>
      <c r="C20" s="18"/>
      <c r="D20" s="18"/>
      <c r="E20" s="18"/>
      <c r="F20" s="18"/>
      <c r="G20" s="19"/>
      <c r="H20" s="18"/>
      <c r="I20" s="18"/>
      <c r="J20" s="18"/>
      <c r="K20" s="19"/>
      <c r="L20" s="18"/>
      <c r="M20" s="18"/>
      <c r="N20" s="18"/>
      <c r="O20" s="19"/>
      <c r="P20" s="18"/>
      <c r="Q20" s="18"/>
      <c r="R20" s="18"/>
      <c r="S20" s="19"/>
      <c r="T20" s="19"/>
    </row>
    <row r="21" spans="1:20" ht="18" customHeight="1">
      <c r="A21" s="2">
        <v>15</v>
      </c>
      <c r="B21" s="16"/>
      <c r="C21" s="16"/>
      <c r="D21" s="16"/>
      <c r="E21" s="16"/>
      <c r="F21" s="16"/>
      <c r="G21" s="17"/>
      <c r="H21" s="16"/>
      <c r="I21" s="16"/>
      <c r="J21" s="16"/>
      <c r="K21" s="17"/>
      <c r="L21" s="16"/>
      <c r="M21" s="16"/>
      <c r="N21" s="16"/>
      <c r="O21" s="17"/>
      <c r="P21" s="16"/>
      <c r="Q21" s="16"/>
      <c r="R21" s="16"/>
      <c r="S21" s="17"/>
      <c r="T21" s="17"/>
    </row>
    <row r="22" spans="1:20" ht="18" customHeight="1">
      <c r="A22" s="6">
        <v>16</v>
      </c>
      <c r="B22" s="18"/>
      <c r="C22" s="18"/>
      <c r="D22" s="18"/>
      <c r="E22" s="18"/>
      <c r="F22" s="18"/>
      <c r="G22" s="19"/>
      <c r="H22" s="18"/>
      <c r="I22" s="18"/>
      <c r="J22" s="18"/>
      <c r="K22" s="19"/>
      <c r="L22" s="18"/>
      <c r="M22" s="18"/>
      <c r="N22" s="18"/>
      <c r="O22" s="19"/>
      <c r="P22" s="18"/>
      <c r="Q22" s="18"/>
      <c r="R22" s="18"/>
      <c r="S22" s="19"/>
      <c r="T22" s="19"/>
    </row>
    <row r="23" spans="1:20" ht="18" customHeight="1">
      <c r="A23" s="2">
        <v>17</v>
      </c>
      <c r="B23" s="16"/>
      <c r="C23" s="16"/>
      <c r="D23" s="16"/>
      <c r="E23" s="16"/>
      <c r="F23" s="16"/>
      <c r="G23" s="17"/>
      <c r="H23" s="16"/>
      <c r="I23" s="16"/>
      <c r="J23" s="16"/>
      <c r="K23" s="17"/>
      <c r="L23" s="16"/>
      <c r="M23" s="16"/>
      <c r="N23" s="16"/>
      <c r="O23" s="17"/>
      <c r="P23" s="16"/>
      <c r="Q23" s="16"/>
      <c r="R23" s="16"/>
      <c r="S23" s="17"/>
      <c r="T23" s="17"/>
    </row>
    <row r="24" spans="1:20" ht="18" customHeight="1">
      <c r="A24" s="6">
        <v>18</v>
      </c>
      <c r="B24" s="18"/>
      <c r="C24" s="18"/>
      <c r="D24" s="18"/>
      <c r="E24" s="18"/>
      <c r="F24" s="18"/>
      <c r="G24" s="19"/>
      <c r="H24" s="18"/>
      <c r="I24" s="18"/>
      <c r="J24" s="18"/>
      <c r="K24" s="19"/>
      <c r="L24" s="18"/>
      <c r="M24" s="18"/>
      <c r="N24" s="18"/>
      <c r="O24" s="19"/>
      <c r="P24" s="18"/>
      <c r="Q24" s="18"/>
      <c r="R24" s="18"/>
      <c r="S24" s="19"/>
      <c r="T24" s="19"/>
    </row>
    <row r="25" spans="1:20" ht="18" customHeight="1">
      <c r="A25" s="2">
        <v>19</v>
      </c>
      <c r="B25" s="16"/>
      <c r="C25" s="16"/>
      <c r="D25" s="16"/>
      <c r="E25" s="16"/>
      <c r="F25" s="16"/>
      <c r="G25" s="17"/>
      <c r="H25" s="16"/>
      <c r="I25" s="16"/>
      <c r="J25" s="16"/>
      <c r="K25" s="17"/>
      <c r="L25" s="16"/>
      <c r="M25" s="16"/>
      <c r="N25" s="16"/>
      <c r="O25" s="17"/>
      <c r="P25" s="16"/>
      <c r="Q25" s="16"/>
      <c r="R25" s="16"/>
      <c r="S25" s="17"/>
      <c r="T25" s="17"/>
    </row>
    <row r="26" spans="1:20" ht="18" customHeight="1">
      <c r="A26" s="6">
        <v>20</v>
      </c>
      <c r="B26" s="18"/>
      <c r="C26" s="18"/>
      <c r="D26" s="18"/>
      <c r="E26" s="18"/>
      <c r="F26" s="18"/>
      <c r="G26" s="19"/>
      <c r="H26" s="18"/>
      <c r="I26" s="18"/>
      <c r="J26" s="18"/>
      <c r="K26" s="19"/>
      <c r="L26" s="18"/>
      <c r="M26" s="18"/>
      <c r="N26" s="18"/>
      <c r="O26" s="19"/>
      <c r="P26" s="18"/>
      <c r="Q26" s="18"/>
      <c r="R26" s="18"/>
      <c r="S26" s="19"/>
      <c r="T26" s="19"/>
    </row>
    <row r="27" spans="1:20" ht="18" customHeight="1">
      <c r="A27" s="2">
        <v>21</v>
      </c>
      <c r="B27" s="16"/>
      <c r="C27" s="16"/>
      <c r="D27" s="16"/>
      <c r="E27" s="16"/>
      <c r="F27" s="16"/>
      <c r="G27" s="17"/>
      <c r="H27" s="16"/>
      <c r="I27" s="16"/>
      <c r="J27" s="16"/>
      <c r="K27" s="17"/>
      <c r="L27" s="16"/>
      <c r="M27" s="16"/>
      <c r="N27" s="16"/>
      <c r="O27" s="17"/>
      <c r="P27" s="16"/>
      <c r="Q27" s="16"/>
      <c r="R27" s="16"/>
      <c r="S27" s="17"/>
      <c r="T27" s="17"/>
    </row>
    <row r="28" spans="1:20" ht="18" customHeight="1">
      <c r="A28" s="6">
        <v>22</v>
      </c>
      <c r="B28" s="18"/>
      <c r="C28" s="18"/>
      <c r="D28" s="18"/>
      <c r="E28" s="18"/>
      <c r="F28" s="18"/>
      <c r="G28" s="19"/>
      <c r="H28" s="18"/>
      <c r="I28" s="18"/>
      <c r="J28" s="18"/>
      <c r="K28" s="19"/>
      <c r="L28" s="18"/>
      <c r="M28" s="18"/>
      <c r="N28" s="18"/>
      <c r="O28" s="19"/>
      <c r="P28" s="18"/>
      <c r="Q28" s="18"/>
      <c r="R28" s="18"/>
      <c r="S28" s="19"/>
      <c r="T28" s="19"/>
    </row>
    <row r="29" spans="1:20" ht="18" customHeight="1">
      <c r="A29" s="2">
        <v>23</v>
      </c>
      <c r="B29" s="16"/>
      <c r="C29" s="16"/>
      <c r="D29" s="16"/>
      <c r="E29" s="16"/>
      <c r="F29" s="16"/>
      <c r="G29" s="17"/>
      <c r="H29" s="16"/>
      <c r="I29" s="16"/>
      <c r="J29" s="16"/>
      <c r="K29" s="17"/>
      <c r="L29" s="16"/>
      <c r="M29" s="16"/>
      <c r="N29" s="16"/>
      <c r="O29" s="17"/>
      <c r="P29" s="16"/>
      <c r="Q29" s="16"/>
      <c r="R29" s="16"/>
      <c r="S29" s="17"/>
      <c r="T29" s="17"/>
    </row>
    <row r="30" spans="1:20" ht="18" customHeight="1">
      <c r="A30" s="6">
        <v>24</v>
      </c>
      <c r="B30" s="18"/>
      <c r="C30" s="18"/>
      <c r="D30" s="18"/>
      <c r="E30" s="18"/>
      <c r="F30" s="18"/>
      <c r="G30" s="19"/>
      <c r="H30" s="18"/>
      <c r="I30" s="18"/>
      <c r="J30" s="18"/>
      <c r="K30" s="19"/>
      <c r="L30" s="18"/>
      <c r="M30" s="18"/>
      <c r="N30" s="18"/>
      <c r="O30" s="19"/>
      <c r="P30" s="18"/>
      <c r="Q30" s="18"/>
      <c r="R30" s="18"/>
      <c r="S30" s="19"/>
      <c r="T30" s="19"/>
    </row>
    <row r="31" spans="1:20" ht="18" customHeight="1">
      <c r="A31" s="2">
        <v>25</v>
      </c>
      <c r="B31" s="16"/>
      <c r="C31" s="16"/>
      <c r="D31" s="16"/>
      <c r="E31" s="16"/>
      <c r="F31" s="16"/>
      <c r="G31" s="17"/>
      <c r="H31" s="16"/>
      <c r="I31" s="16"/>
      <c r="J31" s="16"/>
      <c r="K31" s="17"/>
      <c r="L31" s="16"/>
      <c r="M31" s="16"/>
      <c r="N31" s="16"/>
      <c r="O31" s="17"/>
      <c r="P31" s="16"/>
      <c r="Q31" s="16"/>
      <c r="R31" s="16"/>
      <c r="S31" s="17"/>
      <c r="T31" s="17"/>
    </row>
    <row r="32" spans="1:20" ht="18" customHeight="1">
      <c r="A32" s="6">
        <v>26</v>
      </c>
      <c r="B32" s="18"/>
      <c r="C32" s="18"/>
      <c r="D32" s="18"/>
      <c r="E32" s="18"/>
      <c r="F32" s="18"/>
      <c r="G32" s="19"/>
      <c r="H32" s="18"/>
      <c r="I32" s="18"/>
      <c r="J32" s="18"/>
      <c r="K32" s="19"/>
      <c r="L32" s="18"/>
      <c r="M32" s="18"/>
      <c r="N32" s="18"/>
      <c r="O32" s="19"/>
      <c r="P32" s="18"/>
      <c r="Q32" s="18"/>
      <c r="R32" s="18"/>
      <c r="S32" s="19"/>
      <c r="T32" s="19"/>
    </row>
    <row r="33" spans="1:20" ht="18" customHeight="1">
      <c r="A33" s="2">
        <v>27</v>
      </c>
      <c r="B33" s="16"/>
      <c r="C33" s="16"/>
      <c r="D33" s="16"/>
      <c r="E33" s="16"/>
      <c r="F33" s="16"/>
      <c r="G33" s="17"/>
      <c r="H33" s="16"/>
      <c r="I33" s="16"/>
      <c r="J33" s="16"/>
      <c r="K33" s="17"/>
      <c r="L33" s="16"/>
      <c r="M33" s="16"/>
      <c r="N33" s="16"/>
      <c r="O33" s="17"/>
      <c r="P33" s="16"/>
      <c r="Q33" s="16"/>
      <c r="R33" s="16"/>
      <c r="S33" s="17"/>
      <c r="T33" s="17"/>
    </row>
    <row r="34" spans="1:20" ht="18" customHeight="1">
      <c r="A34" s="6">
        <v>28</v>
      </c>
      <c r="B34" s="18"/>
      <c r="C34" s="18"/>
      <c r="D34" s="18"/>
      <c r="E34" s="18"/>
      <c r="F34" s="18"/>
      <c r="G34" s="19"/>
      <c r="H34" s="18"/>
      <c r="I34" s="18"/>
      <c r="J34" s="18"/>
      <c r="K34" s="19"/>
      <c r="L34" s="18"/>
      <c r="M34" s="18"/>
      <c r="N34" s="18"/>
      <c r="O34" s="19"/>
      <c r="P34" s="18"/>
      <c r="Q34" s="18"/>
      <c r="R34" s="18"/>
      <c r="S34" s="19"/>
      <c r="T34" s="19"/>
    </row>
    <row r="35" spans="1:20" ht="18" customHeight="1">
      <c r="A35" s="2">
        <v>29</v>
      </c>
      <c r="B35" s="16"/>
      <c r="C35" s="16"/>
      <c r="D35" s="16"/>
      <c r="E35" s="16"/>
      <c r="F35" s="16"/>
      <c r="G35" s="17"/>
      <c r="H35" s="16"/>
      <c r="I35" s="16"/>
      <c r="J35" s="16"/>
      <c r="K35" s="17"/>
      <c r="L35" s="16"/>
      <c r="M35" s="16"/>
      <c r="N35" s="16"/>
      <c r="O35" s="17"/>
      <c r="P35" s="16"/>
      <c r="Q35" s="16"/>
      <c r="R35" s="16"/>
      <c r="S35" s="17"/>
      <c r="T35" s="17"/>
    </row>
    <row r="36" spans="1:20" ht="18" customHeight="1">
      <c r="A36" s="6">
        <v>30</v>
      </c>
      <c r="B36" s="18"/>
      <c r="C36" s="18"/>
      <c r="D36" s="18"/>
      <c r="E36" s="18"/>
      <c r="F36" s="18"/>
      <c r="G36" s="19"/>
      <c r="H36" s="18"/>
      <c r="I36" s="18"/>
      <c r="J36" s="18"/>
      <c r="K36" s="19"/>
      <c r="L36" s="18"/>
      <c r="M36" s="18"/>
      <c r="N36" s="18"/>
      <c r="O36" s="19"/>
      <c r="P36" s="18"/>
      <c r="Q36" s="18"/>
      <c r="R36" s="18"/>
      <c r="S36" s="19"/>
      <c r="T36" s="19"/>
    </row>
  </sheetData>
  <mergeCells count="14">
    <mergeCell ref="A2:T2"/>
    <mergeCell ref="T5:T6"/>
    <mergeCell ref="D5:G5"/>
    <mergeCell ref="B5:B6"/>
    <mergeCell ref="H5:K5"/>
    <mergeCell ref="C5:C6"/>
    <mergeCell ref="A5:A6"/>
    <mergeCell ref="L5:O5"/>
    <mergeCell ref="P5:S5"/>
    <mergeCell ref="D3:G3"/>
    <mergeCell ref="P3:T3"/>
    <mergeCell ref="H3:K3"/>
    <mergeCell ref="L3:O3"/>
    <mergeCell ref="A3:C3"/>
  </mergeCells>
  <phoneticPr fontId="21"/>
  <conditionalFormatting sqref="E7:E36">
    <cfRule type="cellIs" dxfId="23" priority="1" operator="between">
      <formula>0</formula>
      <formula>0</formula>
    </cfRule>
    <cfRule type="cellIs" dxfId="22" priority="2" operator="between">
      <formula>1</formula>
      <formula>1</formula>
    </cfRule>
    <cfRule type="cellIs" dxfId="21" priority="3" operator="between">
      <formula>2</formula>
      <formula>2</formula>
    </cfRule>
    <cfRule type="cellIs" dxfId="20" priority="4" operator="between">
      <formula>3</formula>
      <formula>3</formula>
    </cfRule>
    <cfRule type="cellIs" dxfId="19" priority="5" operator="between">
      <formula>4</formula>
      <formula>4</formula>
    </cfRule>
    <cfRule type="cellIs" dxfId="18" priority="6" operator="between">
      <formula>5</formula>
      <formula>5</formula>
    </cfRule>
  </conditionalFormatting>
  <conditionalFormatting sqref="I7:I36">
    <cfRule type="cellIs" dxfId="17" priority="7" operator="between">
      <formula>0</formula>
      <formula>0</formula>
    </cfRule>
    <cfRule type="cellIs" dxfId="16" priority="8" operator="between">
      <formula>1</formula>
      <formula>1</formula>
    </cfRule>
    <cfRule type="cellIs" dxfId="15" priority="9" operator="between">
      <formula>2</formula>
      <formula>2</formula>
    </cfRule>
    <cfRule type="cellIs" dxfId="14" priority="10" operator="between">
      <formula>3</formula>
      <formula>3</formula>
    </cfRule>
    <cfRule type="cellIs" dxfId="13" priority="11" operator="between">
      <formula>4</formula>
      <formula>4</formula>
    </cfRule>
    <cfRule type="cellIs" dxfId="12" priority="12" operator="between">
      <formula>5</formula>
      <formula>5</formula>
    </cfRule>
  </conditionalFormatting>
  <conditionalFormatting sqref="M7:M36">
    <cfRule type="cellIs" dxfId="11" priority="13" operator="between">
      <formula>0</formula>
      <formula>0</formula>
    </cfRule>
    <cfRule type="cellIs" dxfId="10" priority="14" operator="between">
      <formula>1</formula>
      <formula>1</formula>
    </cfRule>
    <cfRule type="cellIs" dxfId="9" priority="15" operator="between">
      <formula>2</formula>
      <formula>2</formula>
    </cfRule>
    <cfRule type="cellIs" dxfId="8" priority="16" operator="between">
      <formula>3</formula>
      <formula>3</formula>
    </cfRule>
    <cfRule type="cellIs" dxfId="7" priority="17" operator="between">
      <formula>4</formula>
      <formula>4</formula>
    </cfRule>
    <cfRule type="cellIs" dxfId="6" priority="18" operator="between">
      <formula>5</formula>
      <formula>5</formula>
    </cfRule>
  </conditionalFormatting>
  <conditionalFormatting sqref="Q7:Q36">
    <cfRule type="cellIs" dxfId="5" priority="19" operator="between">
      <formula>0</formula>
      <formula>0</formula>
    </cfRule>
    <cfRule type="cellIs" dxfId="4" priority="20" operator="between">
      <formula>1</formula>
      <formula>1</formula>
    </cfRule>
    <cfRule type="cellIs" dxfId="3" priority="21" operator="between">
      <formula>2</formula>
      <formula>2</formula>
    </cfRule>
    <cfRule type="cellIs" dxfId="2" priority="22" operator="between">
      <formula>3</formula>
      <formula>3</formula>
    </cfRule>
    <cfRule type="cellIs" dxfId="1" priority="23" operator="between">
      <formula>4</formula>
      <formula>4</formula>
    </cfRule>
    <cfRule type="cellIs" dxfId="0" priority="24" operator="between">
      <formula>5</formula>
      <formula>5</formula>
    </cfRule>
  </conditionalFormatting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D3C98"/>
  </sheetPr>
  <dimension ref="A1:H32"/>
  <sheetViews>
    <sheetView showGridLines="0" workbookViewId="0"/>
  </sheetViews>
  <sheetFormatPr defaultRowHeight="13.2"/>
  <cols>
    <col min="1" max="2" width="6" customWidth="1"/>
    <col min="3" max="3" width="16" customWidth="1"/>
    <col min="4" max="4" width="36" customWidth="1"/>
    <col min="5" max="5" width="12" customWidth="1"/>
    <col min="6" max="6" width="5" customWidth="1"/>
    <col min="7" max="7" width="16" customWidth="1"/>
    <col min="8" max="8" width="20" customWidth="1"/>
  </cols>
  <sheetData>
    <row r="1" spans="1:5" ht="6" customHeight="1"/>
    <row r="2" spans="1:5" ht="31.95" customHeight="1">
      <c r="A2" s="82" t="s">
        <v>82</v>
      </c>
      <c r="B2" s="67"/>
      <c r="C2" s="67"/>
      <c r="D2" s="67"/>
      <c r="E2" s="68"/>
    </row>
    <row r="3" spans="1:5" ht="7.95" customHeight="1"/>
    <row r="4" spans="1:5" ht="19.95" customHeight="1">
      <c r="A4" s="20" t="s">
        <v>83</v>
      </c>
      <c r="B4" s="20" t="s">
        <v>84</v>
      </c>
      <c r="C4" s="20" t="s">
        <v>85</v>
      </c>
      <c r="D4" s="20" t="s">
        <v>86</v>
      </c>
      <c r="E4" s="20" t="s">
        <v>87</v>
      </c>
    </row>
    <row r="5" spans="1:5" ht="58.05" customHeight="1">
      <c r="A5" s="21">
        <v>0</v>
      </c>
      <c r="B5" s="22" t="s">
        <v>88</v>
      </c>
      <c r="C5" s="22" t="s">
        <v>89</v>
      </c>
      <c r="D5" s="22" t="s">
        <v>90</v>
      </c>
      <c r="E5" s="22" t="s">
        <v>91</v>
      </c>
    </row>
    <row r="6" spans="1:5" ht="58.05" customHeight="1">
      <c r="A6" s="23">
        <v>1</v>
      </c>
      <c r="B6" s="24" t="s">
        <v>92</v>
      </c>
      <c r="C6" s="24" t="s">
        <v>93</v>
      </c>
      <c r="D6" s="24" t="s">
        <v>94</v>
      </c>
      <c r="E6" s="24" t="s">
        <v>95</v>
      </c>
    </row>
    <row r="7" spans="1:5" ht="58.05" customHeight="1">
      <c r="A7" s="25">
        <v>2</v>
      </c>
      <c r="B7" s="26" t="s">
        <v>96</v>
      </c>
      <c r="C7" s="26" t="s">
        <v>97</v>
      </c>
      <c r="D7" s="26" t="s">
        <v>98</v>
      </c>
      <c r="E7" s="26" t="s">
        <v>99</v>
      </c>
    </row>
    <row r="8" spans="1:5" ht="58.05" customHeight="1">
      <c r="A8" s="27">
        <v>3</v>
      </c>
      <c r="B8" s="28" t="s">
        <v>100</v>
      </c>
      <c r="C8" s="28" t="s">
        <v>101</v>
      </c>
      <c r="D8" s="28" t="s">
        <v>102</v>
      </c>
      <c r="E8" s="28" t="s">
        <v>103</v>
      </c>
    </row>
    <row r="9" spans="1:5" ht="58.05" customHeight="1">
      <c r="A9" s="29">
        <v>4</v>
      </c>
      <c r="B9" s="30" t="s">
        <v>104</v>
      </c>
      <c r="C9" s="30" t="s">
        <v>105</v>
      </c>
      <c r="D9" s="30" t="s">
        <v>106</v>
      </c>
      <c r="E9" s="30" t="s">
        <v>107</v>
      </c>
    </row>
    <row r="10" spans="1:5" ht="58.05" customHeight="1">
      <c r="A10" s="31">
        <v>5</v>
      </c>
      <c r="B10" s="32" t="s">
        <v>108</v>
      </c>
      <c r="C10" s="32" t="s">
        <v>109</v>
      </c>
      <c r="D10" s="32" t="s">
        <v>110</v>
      </c>
      <c r="E10" s="32" t="s">
        <v>111</v>
      </c>
    </row>
    <row r="11" spans="1:5" ht="7.95" customHeight="1">
      <c r="A11" s="105" t="s">
        <v>112</v>
      </c>
      <c r="B11" s="67"/>
      <c r="C11" s="67"/>
      <c r="D11" s="67"/>
      <c r="E11" s="68"/>
    </row>
    <row r="12" spans="1:5" ht="7.95" customHeight="1">
      <c r="A12" s="66" t="s">
        <v>113</v>
      </c>
      <c r="B12" s="67"/>
      <c r="C12" s="67"/>
      <c r="D12" s="67"/>
      <c r="E12" s="68"/>
    </row>
    <row r="13" spans="1:5" ht="7.95" customHeight="1">
      <c r="A13" s="66" t="s">
        <v>114</v>
      </c>
      <c r="B13" s="67"/>
      <c r="C13" s="67"/>
      <c r="D13" s="67"/>
      <c r="E13" s="68"/>
    </row>
    <row r="14" spans="1:5" ht="7.95" customHeight="1">
      <c r="A14" s="66" t="s">
        <v>115</v>
      </c>
      <c r="B14" s="67"/>
      <c r="C14" s="67"/>
      <c r="D14" s="67"/>
      <c r="E14" s="68"/>
    </row>
    <row r="15" spans="1:5" ht="7.95" customHeight="1"/>
    <row r="16" spans="1:5" ht="19.95" customHeight="1">
      <c r="A16" s="104" t="s">
        <v>116</v>
      </c>
      <c r="B16" s="67"/>
      <c r="C16" s="67"/>
      <c r="D16" s="67"/>
      <c r="E16" s="68"/>
    </row>
    <row r="17" spans="1:8" ht="19.95" customHeight="1">
      <c r="A17" s="33" t="s">
        <v>117</v>
      </c>
      <c r="B17" s="66" t="s">
        <v>118</v>
      </c>
      <c r="C17" s="68"/>
      <c r="D17" s="102" t="s">
        <v>119</v>
      </c>
      <c r="E17" s="68"/>
    </row>
    <row r="18" spans="1:8" ht="19.95" customHeight="1">
      <c r="A18" s="34" t="s">
        <v>120</v>
      </c>
      <c r="B18" s="66" t="s">
        <v>121</v>
      </c>
      <c r="C18" s="68"/>
      <c r="D18" s="102" t="s">
        <v>122</v>
      </c>
      <c r="E18" s="68"/>
    </row>
    <row r="19" spans="1:8" ht="19.95" customHeight="1">
      <c r="A19" s="35" t="s">
        <v>123</v>
      </c>
      <c r="B19" s="66" t="s">
        <v>124</v>
      </c>
      <c r="C19" s="68"/>
      <c r="D19" s="102" t="s">
        <v>125</v>
      </c>
      <c r="E19" s="68"/>
    </row>
    <row r="21" spans="1:8" ht="19.95" customHeight="1">
      <c r="A21" s="103" t="s">
        <v>126</v>
      </c>
      <c r="B21" s="94"/>
      <c r="C21" s="94"/>
      <c r="D21" s="94"/>
      <c r="E21" s="94"/>
      <c r="F21" s="94"/>
      <c r="G21" s="94"/>
      <c r="H21" s="94"/>
    </row>
    <row r="22" spans="1:8" ht="28.05" customHeight="1">
      <c r="A22" s="107" t="s">
        <v>127</v>
      </c>
      <c r="B22" s="94"/>
      <c r="C22" s="94"/>
      <c r="D22" s="94"/>
      <c r="E22" s="94"/>
      <c r="F22" s="94"/>
      <c r="G22" s="94"/>
      <c r="H22" s="94"/>
    </row>
    <row r="23" spans="1:8" ht="28.05" customHeight="1">
      <c r="A23" s="42" t="s">
        <v>128</v>
      </c>
      <c r="B23" s="42" t="s">
        <v>129</v>
      </c>
      <c r="C23" s="42" t="s">
        <v>130</v>
      </c>
      <c r="D23" s="42" t="s">
        <v>131</v>
      </c>
      <c r="E23" s="42" t="s">
        <v>132</v>
      </c>
      <c r="F23" s="42" t="s">
        <v>133</v>
      </c>
      <c r="G23" s="42" t="s">
        <v>134</v>
      </c>
      <c r="H23" s="42" t="s">
        <v>135</v>
      </c>
    </row>
    <row r="24" spans="1:8" ht="30" customHeight="1">
      <c r="A24" s="43" t="s">
        <v>136</v>
      </c>
      <c r="B24" s="44" t="s">
        <v>137</v>
      </c>
      <c r="C24" s="45" t="s">
        <v>138</v>
      </c>
      <c r="D24" s="45" t="s">
        <v>139</v>
      </c>
      <c r="E24" s="43" t="s">
        <v>140</v>
      </c>
      <c r="F24" s="43" t="s">
        <v>141</v>
      </c>
      <c r="G24" s="45" t="s">
        <v>142</v>
      </c>
      <c r="H24" s="45"/>
    </row>
    <row r="25" spans="1:8" ht="30" customHeight="1">
      <c r="A25" s="46" t="s">
        <v>143</v>
      </c>
      <c r="B25" s="47" t="s">
        <v>144</v>
      </c>
      <c r="C25" s="48" t="s">
        <v>145</v>
      </c>
      <c r="D25" s="48" t="s">
        <v>146</v>
      </c>
      <c r="E25" s="46" t="s">
        <v>147</v>
      </c>
      <c r="F25" s="46" t="s">
        <v>141</v>
      </c>
      <c r="G25" s="48" t="s">
        <v>142</v>
      </c>
      <c r="H25" s="48" t="s">
        <v>148</v>
      </c>
    </row>
    <row r="26" spans="1:8" ht="30" customHeight="1">
      <c r="A26" s="49" t="s">
        <v>149</v>
      </c>
      <c r="B26" s="50" t="s">
        <v>150</v>
      </c>
      <c r="C26" s="51" t="s">
        <v>151</v>
      </c>
      <c r="D26" s="51" t="s">
        <v>152</v>
      </c>
      <c r="E26" s="49" t="s">
        <v>153</v>
      </c>
      <c r="F26" s="49" t="s">
        <v>141</v>
      </c>
      <c r="G26" s="51" t="s">
        <v>142</v>
      </c>
      <c r="H26" s="51"/>
    </row>
    <row r="27" spans="1:8" ht="30" customHeight="1">
      <c r="A27" s="52" t="s">
        <v>154</v>
      </c>
      <c r="B27" s="53" t="s">
        <v>155</v>
      </c>
      <c r="C27" s="54" t="s">
        <v>156</v>
      </c>
      <c r="D27" s="54" t="s">
        <v>157</v>
      </c>
      <c r="E27" s="52" t="s">
        <v>158</v>
      </c>
      <c r="F27" s="52" t="s">
        <v>141</v>
      </c>
      <c r="G27" s="54" t="s">
        <v>142</v>
      </c>
      <c r="H27" s="54"/>
    </row>
    <row r="28" spans="1:8" ht="30" customHeight="1">
      <c r="A28" s="55" t="s">
        <v>159</v>
      </c>
      <c r="B28" s="56" t="s">
        <v>160</v>
      </c>
      <c r="C28" s="57" t="s">
        <v>161</v>
      </c>
      <c r="D28" s="57" t="s">
        <v>162</v>
      </c>
      <c r="E28" s="55" t="s">
        <v>163</v>
      </c>
      <c r="F28" s="55" t="s">
        <v>164</v>
      </c>
      <c r="G28" s="57" t="s">
        <v>142</v>
      </c>
      <c r="H28" s="57"/>
    </row>
    <row r="29" spans="1:8" ht="30" customHeight="1">
      <c r="A29" s="58" t="s">
        <v>165</v>
      </c>
      <c r="B29" s="59" t="s">
        <v>166</v>
      </c>
      <c r="C29" s="60" t="s">
        <v>167</v>
      </c>
      <c r="D29" s="60" t="s">
        <v>168</v>
      </c>
      <c r="E29" s="58" t="s">
        <v>169</v>
      </c>
      <c r="F29" s="58" t="s">
        <v>164</v>
      </c>
      <c r="G29" s="60" t="s">
        <v>142</v>
      </c>
      <c r="H29" s="60" t="s">
        <v>148</v>
      </c>
    </row>
    <row r="30" spans="1:8" ht="30" customHeight="1">
      <c r="A30" s="61" t="s">
        <v>170</v>
      </c>
      <c r="B30" s="62" t="s">
        <v>171</v>
      </c>
      <c r="C30" s="63" t="s">
        <v>172</v>
      </c>
      <c r="D30" s="63" t="s">
        <v>173</v>
      </c>
      <c r="E30" s="61" t="s">
        <v>174</v>
      </c>
      <c r="F30" s="61" t="s">
        <v>164</v>
      </c>
      <c r="G30" s="63" t="s">
        <v>142</v>
      </c>
      <c r="H30" s="63" t="s">
        <v>175</v>
      </c>
    </row>
    <row r="32" spans="1:8" ht="79.95" customHeight="1">
      <c r="A32" s="106" t="s">
        <v>176</v>
      </c>
      <c r="B32" s="94"/>
      <c r="C32" s="94"/>
      <c r="D32" s="94"/>
      <c r="E32" s="94"/>
      <c r="F32" s="94"/>
      <c r="G32" s="94"/>
      <c r="H32" s="94"/>
    </row>
  </sheetData>
  <mergeCells count="15">
    <mergeCell ref="A32:H32"/>
    <mergeCell ref="D17:E17"/>
    <mergeCell ref="B17:C17"/>
    <mergeCell ref="A22:H22"/>
    <mergeCell ref="D18:E18"/>
    <mergeCell ref="A12:E12"/>
    <mergeCell ref="A21:H21"/>
    <mergeCell ref="A2:E2"/>
    <mergeCell ref="A16:E16"/>
    <mergeCell ref="D19:E19"/>
    <mergeCell ref="B19:C19"/>
    <mergeCell ref="A11:E11"/>
    <mergeCell ref="A13:E13"/>
    <mergeCell ref="A14:E14"/>
    <mergeCell ref="B18:C18"/>
  </mergeCells>
  <phoneticPr fontId="21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個体記録票</vt:lpstr>
      <vt:lpstr>プローブ位置ガイド</vt:lpstr>
      <vt:lpstr>農場推移管理</vt:lpstr>
      <vt:lpstr>個体経過フォロー</vt:lpstr>
      <vt:lpstr>スコア判定ガイド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SHIGEO OWAKI</cp:lastModifiedBy>
  <dcterms:created xsi:type="dcterms:W3CDTF">2026-03-15T05:43:58Z</dcterms:created>
  <dcterms:modified xsi:type="dcterms:W3CDTF">2026-03-17T08:19:29Z</dcterms:modified>
</cp:coreProperties>
</file>